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2 Февраль\"/>
    </mc:Choice>
  </mc:AlternateContent>
  <xr:revisionPtr revIDLastSave="0" documentId="13_ncr:1_{98CBC2E6-91E2-4A52-A1F5-98E4D1B2F8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заполнения" sheetId="7" r:id="rId1"/>
  </sheets>
  <definedNames>
    <definedName name="_xlnm._FilterDatabase" localSheetId="0" hidden="1">'для заполнения'!$A$1:$M$4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" l="1"/>
</calcChain>
</file>

<file path=xl/sharedStrings.xml><?xml version="1.0" encoding="utf-8"?>
<sst xmlns="http://schemas.openxmlformats.org/spreadsheetml/2006/main" count="73" uniqueCount="34">
  <si>
    <t>Номенклатура</t>
  </si>
  <si>
    <t>Сумма</t>
  </si>
  <si>
    <t>% НДС</t>
  </si>
  <si>
    <t>№</t>
  </si>
  <si>
    <t>Дата отправления</t>
  </si>
  <si>
    <t>Наименование станции отправления</t>
  </si>
  <si>
    <t>Наименование станции назначения</t>
  </si>
  <si>
    <t>Номер документа</t>
  </si>
  <si>
    <t>Номер вагона</t>
  </si>
  <si>
    <t>Наим. груза(ЕТСНГ)</t>
  </si>
  <si>
    <t>Комментарии</t>
  </si>
  <si>
    <t>Документ (№ ЗНП)</t>
  </si>
  <si>
    <t>Груж/Пор</t>
  </si>
  <si>
    <t>1</t>
  </si>
  <si>
    <t>3</t>
  </si>
  <si>
    <t>2</t>
  </si>
  <si>
    <t>Груж</t>
  </si>
  <si>
    <t>Транспортно-экспедиторское обслуживание</t>
  </si>
  <si>
    <t>КОСТАНАЙ</t>
  </si>
  <si>
    <t>СМЫЧКА</t>
  </si>
  <si>
    <t>4</t>
  </si>
  <si>
    <t>5</t>
  </si>
  <si>
    <t>6</t>
  </si>
  <si>
    <t>7</t>
  </si>
  <si>
    <t>8</t>
  </si>
  <si>
    <t>9</t>
  </si>
  <si>
    <t>10</t>
  </si>
  <si>
    <t>ЛУЖСКАЯ (ЭКСП.)</t>
  </si>
  <si>
    <t>ЖЕМ</t>
  </si>
  <si>
    <t>ВЫШЕСТЕБЛИЕВСКАЯ-ЭКСПОРТ</t>
  </si>
  <si>
    <t>ДОН</t>
  </si>
  <si>
    <t>161128</t>
  </si>
  <si>
    <t>316092</t>
  </si>
  <si>
    <t>487169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</si>
</sst>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 wrapText="1"/>
    </xf>
    <xf numFmtId="0" fontId="6" fillId="0" borderId="0" xfId="0" applyFont="1"/>
    <xf numFmtId="164" fontId="6" fillId="0" borderId="0" xfId="1" applyFont="1"/>
    <xf numFmtId="49" fontId="6" fillId="0" borderId="1" xfId="0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164" fontId="6" fillId="0" borderId="0" xfId="0" applyNumberFormat="1" applyFont="1"/>
    <xf numFmtId="164" fontId="6" fillId="0" borderId="0" xfId="1" applyFont="1" applyFill="1"/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1" applyFont="1" applyFill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9" fontId="6" fillId="0" borderId="1" xfId="2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2" xr:uid="{00000000-0005-0000-0000-000001000000}"/>
    <cellStyle name="Финансовый" xfId="1" builtinId="3"/>
    <cellStyle name="Финансовый 2" xfId="3" xr:uid="{00000000-0005-0000-0000-000003000000}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="85" zoomScaleNormal="85" workbookViewId="0">
      <pane ySplit="1" topLeftCell="A2" activePane="bottomLeft" state="frozen"/>
      <selection pane="bottomLeft" activeCell="H13" sqref="H13"/>
    </sheetView>
  </sheetViews>
  <sheetFormatPr defaultColWidth="26.42578125" defaultRowHeight="15.75" x14ac:dyDescent="0.25"/>
  <cols>
    <col min="1" max="1" width="8.28515625" style="11" customWidth="1"/>
    <col min="2" max="2" width="6.85546875" style="11" customWidth="1"/>
    <col min="3" max="4" width="11.140625" style="11" customWidth="1"/>
    <col min="5" max="5" width="17.7109375" style="11" bestFit="1" customWidth="1"/>
    <col min="6" max="6" width="22.85546875" style="11" bestFit="1" customWidth="1"/>
    <col min="7" max="7" width="29.5703125" style="11" bestFit="1" customWidth="1"/>
    <col min="8" max="8" width="27.85546875" style="11" bestFit="1" customWidth="1"/>
    <col min="9" max="9" width="39" style="12" customWidth="1"/>
    <col min="10" max="10" width="18.28515625" style="13" bestFit="1" customWidth="1"/>
    <col min="11" max="11" width="10.28515625" style="12" bestFit="1" customWidth="1"/>
    <col min="12" max="12" width="10.7109375" style="12" customWidth="1"/>
    <col min="13" max="13" width="9.7109375" style="12" customWidth="1"/>
    <col min="14" max="14" width="22.140625" style="5" customWidth="1"/>
    <col min="15" max="15" width="15.85546875" style="6" customWidth="1"/>
    <col min="16" max="16" width="16.85546875" style="5" customWidth="1"/>
    <col min="17" max="16384" width="26.42578125" style="5"/>
  </cols>
  <sheetData>
    <row r="1" spans="1:16" ht="47.25" x14ac:dyDescent="0.25">
      <c r="A1" s="1" t="s">
        <v>3</v>
      </c>
      <c r="B1" s="1" t="s">
        <v>12</v>
      </c>
      <c r="C1" s="2" t="s">
        <v>8</v>
      </c>
      <c r="D1" s="2" t="s">
        <v>7</v>
      </c>
      <c r="E1" s="2" t="s">
        <v>4</v>
      </c>
      <c r="F1" s="2" t="s">
        <v>5</v>
      </c>
      <c r="G1" s="2" t="s">
        <v>6</v>
      </c>
      <c r="H1" s="2" t="s">
        <v>9</v>
      </c>
      <c r="I1" s="3" t="s">
        <v>0</v>
      </c>
      <c r="J1" s="4" t="s">
        <v>1</v>
      </c>
      <c r="K1" s="2" t="s">
        <v>2</v>
      </c>
      <c r="L1" s="2" t="s">
        <v>11</v>
      </c>
      <c r="M1" s="2" t="s">
        <v>10</v>
      </c>
    </row>
    <row r="2" spans="1:16" ht="15" customHeight="1" x14ac:dyDescent="0.25">
      <c r="A2" s="7" t="s">
        <v>13</v>
      </c>
      <c r="B2" s="8" t="s">
        <v>16</v>
      </c>
      <c r="C2" s="8">
        <v>63872386</v>
      </c>
      <c r="D2" s="8">
        <v>37456020</v>
      </c>
      <c r="E2" s="14">
        <v>45711</v>
      </c>
      <c r="F2" s="8" t="s">
        <v>27</v>
      </c>
      <c r="G2" s="8" t="s">
        <v>28</v>
      </c>
      <c r="H2" s="8" t="s">
        <v>31</v>
      </c>
      <c r="I2" s="8" t="s">
        <v>17</v>
      </c>
      <c r="J2" s="15">
        <v>500</v>
      </c>
      <c r="K2" s="16"/>
      <c r="L2" s="15"/>
      <c r="M2" s="15"/>
      <c r="N2" s="9"/>
      <c r="O2" s="10"/>
      <c r="P2" s="9"/>
    </row>
    <row r="3" spans="1:16" ht="15" customHeight="1" x14ac:dyDescent="0.25">
      <c r="A3" s="7" t="s">
        <v>15</v>
      </c>
      <c r="B3" s="8" t="s">
        <v>16</v>
      </c>
      <c r="C3" s="8">
        <v>65328155</v>
      </c>
      <c r="D3" s="8">
        <v>37503065</v>
      </c>
      <c r="E3" s="14">
        <v>45716</v>
      </c>
      <c r="F3" s="8" t="s">
        <v>19</v>
      </c>
      <c r="G3" s="8" t="s">
        <v>18</v>
      </c>
      <c r="H3" s="8" t="s">
        <v>32</v>
      </c>
      <c r="I3" s="8" t="s">
        <v>17</v>
      </c>
      <c r="J3" s="15">
        <v>500</v>
      </c>
      <c r="K3" s="16"/>
      <c r="L3" s="15"/>
      <c r="M3" s="15"/>
      <c r="N3" s="9"/>
      <c r="O3" s="10"/>
      <c r="P3" s="9"/>
    </row>
    <row r="4" spans="1:16" ht="15" customHeight="1" x14ac:dyDescent="0.25">
      <c r="A4" s="7" t="s">
        <v>14</v>
      </c>
      <c r="B4" s="8" t="s">
        <v>16</v>
      </c>
      <c r="C4" s="8">
        <v>63616031</v>
      </c>
      <c r="D4" s="8">
        <v>37503071</v>
      </c>
      <c r="E4" s="14">
        <v>45716</v>
      </c>
      <c r="F4" s="8" t="s">
        <v>19</v>
      </c>
      <c r="G4" s="8" t="s">
        <v>18</v>
      </c>
      <c r="H4" s="8" t="s">
        <v>32</v>
      </c>
      <c r="I4" s="8" t="s">
        <v>17</v>
      </c>
      <c r="J4" s="15">
        <v>500</v>
      </c>
      <c r="K4" s="16"/>
      <c r="L4" s="15"/>
      <c r="M4" s="15"/>
      <c r="N4" s="9"/>
      <c r="O4" s="10"/>
      <c r="P4" s="9"/>
    </row>
    <row r="5" spans="1:16" ht="15" customHeight="1" x14ac:dyDescent="0.25">
      <c r="A5" s="7" t="s">
        <v>20</v>
      </c>
      <c r="B5" s="8" t="s">
        <v>16</v>
      </c>
      <c r="C5" s="8">
        <v>53565925</v>
      </c>
      <c r="D5" s="8">
        <v>37503087</v>
      </c>
      <c r="E5" s="14">
        <v>45716</v>
      </c>
      <c r="F5" s="8" t="s">
        <v>19</v>
      </c>
      <c r="G5" s="8" t="s">
        <v>18</v>
      </c>
      <c r="H5" s="8" t="s">
        <v>32</v>
      </c>
      <c r="I5" s="8" t="s">
        <v>17</v>
      </c>
      <c r="J5" s="15">
        <v>500</v>
      </c>
      <c r="K5" s="16"/>
      <c r="L5" s="15"/>
      <c r="M5" s="15"/>
      <c r="N5" s="9"/>
      <c r="O5" s="10"/>
      <c r="P5" s="9"/>
    </row>
    <row r="6" spans="1:16" ht="15" customHeight="1" x14ac:dyDescent="0.25">
      <c r="A6" s="7" t="s">
        <v>21</v>
      </c>
      <c r="B6" s="8" t="s">
        <v>16</v>
      </c>
      <c r="C6" s="8">
        <v>63698518</v>
      </c>
      <c r="D6" s="8">
        <v>37503077</v>
      </c>
      <c r="E6" s="14">
        <v>45716</v>
      </c>
      <c r="F6" s="8" t="s">
        <v>19</v>
      </c>
      <c r="G6" s="8" t="s">
        <v>18</v>
      </c>
      <c r="H6" s="8" t="s">
        <v>32</v>
      </c>
      <c r="I6" s="8" t="s">
        <v>17</v>
      </c>
      <c r="J6" s="15">
        <v>500</v>
      </c>
      <c r="K6" s="16"/>
      <c r="L6" s="15"/>
      <c r="M6" s="15"/>
      <c r="N6" s="9"/>
      <c r="O6" s="10"/>
      <c r="P6" s="9"/>
    </row>
    <row r="7" spans="1:16" ht="15" customHeight="1" x14ac:dyDescent="0.25">
      <c r="A7" s="7" t="s">
        <v>22</v>
      </c>
      <c r="B7" s="8" t="s">
        <v>16</v>
      </c>
      <c r="C7" s="8">
        <v>60664968</v>
      </c>
      <c r="D7" s="8">
        <v>37486805</v>
      </c>
      <c r="E7" s="14">
        <v>45716</v>
      </c>
      <c r="F7" s="8" t="s">
        <v>29</v>
      </c>
      <c r="G7" s="8" t="s">
        <v>30</v>
      </c>
      <c r="H7" s="8" t="s">
        <v>33</v>
      </c>
      <c r="I7" s="8" t="s">
        <v>17</v>
      </c>
      <c r="J7" s="15">
        <v>500</v>
      </c>
      <c r="K7" s="16"/>
      <c r="L7" s="15"/>
      <c r="M7" s="15"/>
      <c r="N7" s="9"/>
      <c r="O7" s="10"/>
      <c r="P7" s="9"/>
    </row>
    <row r="8" spans="1:16" ht="15" customHeight="1" x14ac:dyDescent="0.25">
      <c r="A8" s="7" t="s">
        <v>23</v>
      </c>
      <c r="B8" s="8" t="s">
        <v>16</v>
      </c>
      <c r="C8" s="8">
        <v>60676822</v>
      </c>
      <c r="D8" s="8">
        <v>37486915</v>
      </c>
      <c r="E8" s="14">
        <v>45716</v>
      </c>
      <c r="F8" s="8" t="s">
        <v>29</v>
      </c>
      <c r="G8" s="8" t="s">
        <v>30</v>
      </c>
      <c r="H8" s="8" t="s">
        <v>33</v>
      </c>
      <c r="I8" s="8" t="s">
        <v>17</v>
      </c>
      <c r="J8" s="15">
        <v>500</v>
      </c>
      <c r="K8" s="16"/>
      <c r="L8" s="15"/>
      <c r="M8" s="15"/>
      <c r="N8" s="9"/>
      <c r="O8" s="10"/>
      <c r="P8" s="9"/>
    </row>
    <row r="9" spans="1:16" ht="15" customHeight="1" x14ac:dyDescent="0.25">
      <c r="A9" s="7" t="s">
        <v>24</v>
      </c>
      <c r="B9" s="8" t="s">
        <v>16</v>
      </c>
      <c r="C9" s="8">
        <v>63209357</v>
      </c>
      <c r="D9" s="8">
        <v>37487065</v>
      </c>
      <c r="E9" s="14">
        <v>45716</v>
      </c>
      <c r="F9" s="8" t="s">
        <v>29</v>
      </c>
      <c r="G9" s="8" t="s">
        <v>30</v>
      </c>
      <c r="H9" s="8" t="s">
        <v>33</v>
      </c>
      <c r="I9" s="8" t="s">
        <v>17</v>
      </c>
      <c r="J9" s="15">
        <v>500</v>
      </c>
      <c r="K9" s="16"/>
      <c r="L9" s="15"/>
      <c r="M9" s="15"/>
      <c r="N9" s="9"/>
      <c r="O9" s="10"/>
      <c r="P9" s="9"/>
    </row>
    <row r="10" spans="1:16" ht="15" customHeight="1" x14ac:dyDescent="0.25">
      <c r="A10" s="7" t="s">
        <v>25</v>
      </c>
      <c r="B10" s="8" t="s">
        <v>16</v>
      </c>
      <c r="C10" s="8">
        <v>63267959</v>
      </c>
      <c r="D10" s="8">
        <v>37487104</v>
      </c>
      <c r="E10" s="14">
        <v>45716</v>
      </c>
      <c r="F10" s="8" t="s">
        <v>29</v>
      </c>
      <c r="G10" s="8" t="s">
        <v>30</v>
      </c>
      <c r="H10" s="8" t="s">
        <v>33</v>
      </c>
      <c r="I10" s="8" t="s">
        <v>17</v>
      </c>
      <c r="J10" s="15">
        <v>500</v>
      </c>
      <c r="K10" s="16"/>
      <c r="L10" s="15"/>
      <c r="M10" s="15"/>
      <c r="N10" s="9"/>
      <c r="O10" s="10"/>
      <c r="P10" s="9"/>
    </row>
    <row r="11" spans="1:16" ht="15" customHeight="1" x14ac:dyDescent="0.25">
      <c r="A11" s="7" t="s">
        <v>26</v>
      </c>
      <c r="B11" s="8" t="s">
        <v>16</v>
      </c>
      <c r="C11" s="8">
        <v>63473722</v>
      </c>
      <c r="D11" s="8">
        <v>37487160</v>
      </c>
      <c r="E11" s="14">
        <v>45716</v>
      </c>
      <c r="F11" s="8" t="s">
        <v>29</v>
      </c>
      <c r="G11" s="8" t="s">
        <v>30</v>
      </c>
      <c r="H11" s="8" t="s">
        <v>33</v>
      </c>
      <c r="I11" s="8" t="s">
        <v>17</v>
      </c>
      <c r="J11" s="15">
        <v>500</v>
      </c>
      <c r="K11" s="16"/>
      <c r="L11" s="15"/>
      <c r="M11" s="15"/>
      <c r="N11" s="9"/>
      <c r="O11" s="10"/>
      <c r="P11" s="9"/>
    </row>
    <row r="13" spans="1:16" x14ac:dyDescent="0.25">
      <c r="J13" s="13">
        <f>SUBTOTAL(109,J2:J11)</f>
        <v>5000</v>
      </c>
    </row>
  </sheetData>
  <sheetProtection formatCells="0" formatColumns="0" formatRows="0" insertColumns="0" insertRows="0" insertHyperlinks="0" deleteColumns="0" deleteRows="0" sort="0" autoFilter="0" pivotTables="0"/>
  <autoFilter ref="A1:M4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1783E-B074-472C-B8AB-C80257A8CB8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cp:lastPrinted>2024-11-14T07:07:26Z</cp:lastPrinted>
  <dcterms:created xsi:type="dcterms:W3CDTF">2018-08-14T05:35:36Z</dcterms:created>
  <dcterms:modified xsi:type="dcterms:W3CDTF">2025-03-07T10:04:41Z</dcterms:modified>
</cp:coreProperties>
</file>