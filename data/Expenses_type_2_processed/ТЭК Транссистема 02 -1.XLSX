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заполнения'!$A$1:$M$4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164" fontId="1" fillId="0" borderId="0"/>
    <xf numFmtId="0" fontId="3" fillId="0" borderId="0"/>
    <xf numFmtId="43" fontId="3" fillId="0" borderId="0"/>
  </cellStyleXfs>
  <cellXfs count="1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1">
      <alignment horizontal="center" vertical="center" wrapText="1"/>
    </xf>
    <xf numFmtId="0" fontId="6" fillId="0" borderId="0" pivotButton="0" quotePrefix="0" xfId="0"/>
    <xf numFmtId="164" fontId="6" fillId="0" borderId="0" pivotButton="0" quotePrefix="0" xfId="1"/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2">
      <alignment horizontal="center" vertical="center" wrapText="1"/>
    </xf>
    <xf numFmtId="164" fontId="6" fillId="0" borderId="0" pivotButton="0" quotePrefix="0" xfId="0"/>
    <xf numFmtId="164" fontId="6" fillId="0" borderId="0" pivotButton="0" quotePrefix="0" xfId="1"/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4" fontId="6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 wrapText="1"/>
    </xf>
    <xf numFmtId="9" fontId="6" fillId="0" borderId="1" applyAlignment="1" pivotButton="0" quotePrefix="0" xfId="2">
      <alignment horizontal="center" vertical="center" wrapText="1"/>
    </xf>
  </cellXfs>
  <cellStyles count="4">
    <cellStyle name="Обычный" xfId="0" builtinId="0"/>
    <cellStyle name="Финансовый" xfId="1" builtinId="3"/>
    <cellStyle name="Обычный 2" xfId="2"/>
    <cellStyle name="Финансовый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zoomScale="85" zoomScaleNormal="85" workbookViewId="0">
      <pane ySplit="1" topLeftCell="A2" activePane="bottomLeft" state="frozen"/>
      <selection pane="bottomLeft" activeCell="H13" sqref="H13"/>
    </sheetView>
  </sheetViews>
  <sheetFormatPr baseColWidth="8" defaultColWidth="26.42578125" defaultRowHeight="15.75"/>
  <cols>
    <col width="8.28515625" customWidth="1" style="11" min="1" max="1"/>
    <col width="6.85546875" customWidth="1" style="11" min="2" max="2"/>
    <col width="11.140625" customWidth="1" style="11" min="3" max="4"/>
    <col width="17.7109375" bestFit="1" customWidth="1" style="11" min="5" max="5"/>
    <col width="22.85546875" bestFit="1" customWidth="1" style="11" min="6" max="6"/>
    <col width="29.5703125" bestFit="1" customWidth="1" style="11" min="7" max="7"/>
    <col width="27.85546875" bestFit="1" customWidth="1" style="11" min="8" max="8"/>
    <col width="39" customWidth="1" style="12" min="9" max="9"/>
    <col width="18.28515625" bestFit="1" customWidth="1" style="13" min="10" max="10"/>
    <col width="10.28515625" bestFit="1" customWidth="1" style="12" min="11" max="11"/>
    <col width="10.7109375" customWidth="1" style="12" min="12" max="12"/>
    <col width="9.7109375" customWidth="1" style="12" min="13" max="13"/>
    <col width="22.140625" customWidth="1" style="5" min="14" max="14"/>
    <col width="15.85546875" customWidth="1" style="10" min="15" max="15"/>
    <col width="16.85546875" customWidth="1" style="5" min="16" max="16"/>
    <col width="26.42578125" customWidth="1" style="5" min="17" max="16384"/>
  </cols>
  <sheetData>
    <row r="1" ht="47.25" customHeight="1">
      <c r="A1" s="1" t="inlineStr">
        <is>
          <t>№</t>
        </is>
      </c>
      <c r="B1" s="1" t="inlineStr">
        <is>
          <t>Груж/Пор</t>
        </is>
      </c>
      <c r="C1" s="2" t="inlineStr">
        <is>
          <t>Номер вагона</t>
        </is>
      </c>
      <c r="D1" s="2" t="inlineStr">
        <is>
          <t>Номер документа</t>
        </is>
      </c>
      <c r="E1" s="2" t="inlineStr">
        <is>
          <t>Дата отправления</t>
        </is>
      </c>
      <c r="F1" s="2" t="inlineStr">
        <is>
          <t>Наименование станции отправления</t>
        </is>
      </c>
      <c r="G1" s="2" t="inlineStr">
        <is>
          <t>Наименование станции назначения</t>
        </is>
      </c>
      <c r="H1" s="2" t="inlineStr">
        <is>
          <t>Наим. груза(ЕТСНГ)</t>
        </is>
      </c>
      <c r="I1" s="3" t="inlineStr">
        <is>
          <t>Номенклатура</t>
        </is>
      </c>
      <c r="J1" s="4" t="inlineStr">
        <is>
          <t>Сумма</t>
        </is>
      </c>
      <c r="K1" s="2" t="inlineStr">
        <is>
          <t>% НДС</t>
        </is>
      </c>
      <c r="L1" s="2" t="inlineStr">
        <is>
          <t>Документ (№ ЗНП)</t>
        </is>
      </c>
      <c r="M1" s="2" t="inlineStr">
        <is>
          <t>Комментарии</t>
        </is>
      </c>
      <c r="Q1" t="inlineStr">
        <is>
          <t>ЗНП</t>
        </is>
      </c>
    </row>
    <row r="2" ht="15" customHeight="1">
      <c r="A2" s="7" t="inlineStr">
        <is>
          <t>1</t>
        </is>
      </c>
      <c r="B2" s="15" t="inlineStr">
        <is>
          <t>Груж</t>
        </is>
      </c>
      <c r="C2" s="15" t="n">
        <v>63872386</v>
      </c>
      <c r="D2" s="15" t="n">
        <v>37456020</v>
      </c>
      <c r="E2" s="14" t="n">
        <v>45711</v>
      </c>
      <c r="F2" s="15" t="inlineStr">
        <is>
          <t>ЛУЖСКАЯ (ЭКСП.)</t>
        </is>
      </c>
      <c r="G2" s="15" t="inlineStr">
        <is>
          <t>ЖЕМ</t>
        </is>
      </c>
      <c r="H2" s="15" t="inlineStr">
        <is>
          <t>161128</t>
        </is>
      </c>
      <c r="I2" s="15" t="inlineStr">
        <is>
          <t>Транспортно-экспедиторское обслуживание</t>
        </is>
      </c>
      <c r="J2" s="15" t="n">
        <v>500</v>
      </c>
      <c r="K2" s="16" t="n"/>
      <c r="L2" s="15" t="n"/>
      <c r="M2" s="15" t="n"/>
      <c r="N2" s="9" t="n"/>
      <c r="O2" s="10" t="n"/>
      <c r="P2" s="9" t="n"/>
      <c r="Q2" t="n">
        <v>65</v>
      </c>
    </row>
    <row r="3" ht="15" customHeight="1">
      <c r="A3" s="7" t="inlineStr">
        <is>
          <t>2</t>
        </is>
      </c>
      <c r="B3" s="15" t="inlineStr">
        <is>
          <t>Груж</t>
        </is>
      </c>
      <c r="C3" s="15" t="n">
        <v>65328155</v>
      </c>
      <c r="D3" s="15" t="n">
        <v>37503065</v>
      </c>
      <c r="E3" s="14" t="n">
        <v>45716</v>
      </c>
      <c r="F3" s="15" t="inlineStr">
        <is>
          <t>СМЫЧКА</t>
        </is>
      </c>
      <c r="G3" s="15" t="inlineStr">
        <is>
          <t>КОСТАНАЙ</t>
        </is>
      </c>
      <c r="H3" s="15" t="inlineStr">
        <is>
          <t>316092</t>
        </is>
      </c>
      <c r="I3" s="15" t="inlineStr">
        <is>
          <t>Транспортно-экспедиторское обслуживание</t>
        </is>
      </c>
      <c r="J3" s="15" t="n">
        <v>500</v>
      </c>
      <c r="K3" s="16" t="n"/>
      <c r="L3" s="15" t="n"/>
      <c r="M3" s="15" t="n"/>
      <c r="N3" s="9" t="n"/>
      <c r="O3" s="10" t="n"/>
      <c r="P3" s="9" t="n"/>
      <c r="Q3" t="n">
        <v>0</v>
      </c>
    </row>
    <row r="4" ht="15" customHeight="1">
      <c r="A4" s="7" t="inlineStr">
        <is>
          <t>3</t>
        </is>
      </c>
      <c r="B4" s="15" t="inlineStr">
        <is>
          <t>Груж</t>
        </is>
      </c>
      <c r="C4" s="15" t="n">
        <v>63616031</v>
      </c>
      <c r="D4" s="15" t="n">
        <v>37503071</v>
      </c>
      <c r="E4" s="14" t="n">
        <v>45716</v>
      </c>
      <c r="F4" s="15" t="inlineStr">
        <is>
          <t>СМЫЧКА</t>
        </is>
      </c>
      <c r="G4" s="15" t="inlineStr">
        <is>
          <t>КОСТАНАЙ</t>
        </is>
      </c>
      <c r="H4" s="15" t="inlineStr">
        <is>
          <t>316092</t>
        </is>
      </c>
      <c r="I4" s="15" t="inlineStr">
        <is>
          <t>Транспортно-экспедиторское обслуживание</t>
        </is>
      </c>
      <c r="J4" s="15" t="n">
        <v>500</v>
      </c>
      <c r="K4" s="16" t="n"/>
      <c r="L4" s="15" t="n"/>
      <c r="M4" s="15" t="n"/>
      <c r="N4" s="9" t="n"/>
      <c r="O4" s="10" t="n"/>
      <c r="P4" s="9" t="n"/>
      <c r="Q4" t="n">
        <v>0</v>
      </c>
    </row>
    <row r="5" ht="15" customHeight="1">
      <c r="A5" s="7" t="inlineStr">
        <is>
          <t>4</t>
        </is>
      </c>
      <c r="B5" s="15" t="inlineStr">
        <is>
          <t>Груж</t>
        </is>
      </c>
      <c r="C5" s="15" t="n">
        <v>53565925</v>
      </c>
      <c r="D5" s="15" t="n">
        <v>37503087</v>
      </c>
      <c r="E5" s="14" t="n">
        <v>45716</v>
      </c>
      <c r="F5" s="15" t="inlineStr">
        <is>
          <t>СМЫЧКА</t>
        </is>
      </c>
      <c r="G5" s="15" t="inlineStr">
        <is>
          <t>КОСТАНАЙ</t>
        </is>
      </c>
      <c r="H5" s="15" t="inlineStr">
        <is>
          <t>316092</t>
        </is>
      </c>
      <c r="I5" s="15" t="inlineStr">
        <is>
          <t>Транспортно-экспедиторское обслуживание</t>
        </is>
      </c>
      <c r="J5" s="15" t="n">
        <v>500</v>
      </c>
      <c r="K5" s="16" t="n"/>
      <c r="L5" s="15" t="n"/>
      <c r="M5" s="15" t="n"/>
      <c r="N5" s="9" t="n"/>
      <c r="O5" s="10" t="n"/>
      <c r="P5" s="9" t="n"/>
      <c r="Q5" t="n">
        <v>0</v>
      </c>
    </row>
    <row r="6" ht="15" customHeight="1">
      <c r="A6" s="7" t="inlineStr">
        <is>
          <t>5</t>
        </is>
      </c>
      <c r="B6" s="15" t="inlineStr">
        <is>
          <t>Груж</t>
        </is>
      </c>
      <c r="C6" s="15" t="n">
        <v>63698518</v>
      </c>
      <c r="D6" s="15" t="n">
        <v>37503077</v>
      </c>
      <c r="E6" s="14" t="n">
        <v>45716</v>
      </c>
      <c r="F6" s="15" t="inlineStr">
        <is>
          <t>СМЫЧКА</t>
        </is>
      </c>
      <c r="G6" s="15" t="inlineStr">
        <is>
          <t>КОСТАНАЙ</t>
        </is>
      </c>
      <c r="H6" s="15" t="inlineStr">
        <is>
          <t>316092</t>
        </is>
      </c>
      <c r="I6" s="15" t="inlineStr">
        <is>
          <t>Транспортно-экспедиторское обслуживание</t>
        </is>
      </c>
      <c r="J6" s="15" t="n">
        <v>500</v>
      </c>
      <c r="K6" s="16" t="n"/>
      <c r="L6" s="15" t="n"/>
      <c r="M6" s="15" t="n"/>
      <c r="N6" s="9" t="n"/>
      <c r="O6" s="10" t="n"/>
      <c r="P6" s="9" t="n"/>
      <c r="Q6" t="n">
        <v>0</v>
      </c>
    </row>
    <row r="7" ht="15" customHeight="1">
      <c r="A7" s="7" t="inlineStr">
        <is>
          <t>6</t>
        </is>
      </c>
      <c r="B7" s="15" t="inlineStr">
        <is>
          <t>Груж</t>
        </is>
      </c>
      <c r="C7" s="15" t="n">
        <v>60664968</v>
      </c>
      <c r="D7" s="15" t="n">
        <v>37486805</v>
      </c>
      <c r="E7" s="14" t="n">
        <v>45716</v>
      </c>
      <c r="F7" s="15" t="inlineStr">
        <is>
          <t>ВЫШЕСТЕБЛИЕВСКАЯ-ЭКСПОРТ</t>
        </is>
      </c>
      <c r="G7" s="15" t="inlineStr">
        <is>
          <t>ДОН</t>
        </is>
      </c>
      <c r="H7" s="15" t="inlineStr">
        <is>
          <t>487169</t>
        </is>
      </c>
      <c r="I7" s="15" t="inlineStr">
        <is>
          <t>Транспортно-экспедиторское обслуживание</t>
        </is>
      </c>
      <c r="J7" s="15" t="n">
        <v>500</v>
      </c>
      <c r="K7" s="16" t="n"/>
      <c r="L7" s="15" t="n"/>
      <c r="M7" s="15" t="n"/>
      <c r="N7" s="9" t="n"/>
      <c r="O7" s="10" t="n"/>
      <c r="P7" s="9" t="n"/>
      <c r="Q7" t="n">
        <v>62</v>
      </c>
    </row>
    <row r="8" ht="15" customHeight="1">
      <c r="A8" s="7" t="inlineStr">
        <is>
          <t>7</t>
        </is>
      </c>
      <c r="B8" s="15" t="inlineStr">
        <is>
          <t>Груж</t>
        </is>
      </c>
      <c r="C8" s="15" t="n">
        <v>60676822</v>
      </c>
      <c r="D8" s="15" t="n">
        <v>37486915</v>
      </c>
      <c r="E8" s="14" t="n">
        <v>45716</v>
      </c>
      <c r="F8" s="15" t="inlineStr">
        <is>
          <t>ВЫШЕСТЕБЛИЕВСКАЯ-ЭКСПОРТ</t>
        </is>
      </c>
      <c r="G8" s="15" t="inlineStr">
        <is>
          <t>ДОН</t>
        </is>
      </c>
      <c r="H8" s="15" t="inlineStr">
        <is>
          <t>487169</t>
        </is>
      </c>
      <c r="I8" s="15" t="inlineStr">
        <is>
          <t>Транспортно-экспедиторское обслуживание</t>
        </is>
      </c>
      <c r="J8" s="15" t="n">
        <v>500</v>
      </c>
      <c r="K8" s="16" t="n"/>
      <c r="L8" s="15" t="n"/>
      <c r="M8" s="15" t="n"/>
      <c r="N8" s="9" t="n"/>
      <c r="O8" s="10" t="n"/>
      <c r="P8" s="9" t="n"/>
      <c r="Q8" t="n">
        <v>62</v>
      </c>
    </row>
    <row r="9" ht="15" customHeight="1">
      <c r="A9" s="7" t="inlineStr">
        <is>
          <t>8</t>
        </is>
      </c>
      <c r="B9" s="15" t="inlineStr">
        <is>
          <t>Груж</t>
        </is>
      </c>
      <c r="C9" s="15" t="n">
        <v>63209357</v>
      </c>
      <c r="D9" s="15" t="n">
        <v>37487065</v>
      </c>
      <c r="E9" s="14" t="n">
        <v>45716</v>
      </c>
      <c r="F9" s="15" t="inlineStr">
        <is>
          <t>ВЫШЕСТЕБЛИЕВСКАЯ-ЭКСПОРТ</t>
        </is>
      </c>
      <c r="G9" s="15" t="inlineStr">
        <is>
          <t>ДОН</t>
        </is>
      </c>
      <c r="H9" s="15" t="inlineStr">
        <is>
          <t>487169</t>
        </is>
      </c>
      <c r="I9" s="15" t="inlineStr">
        <is>
          <t>Транспортно-экспедиторское обслуживание</t>
        </is>
      </c>
      <c r="J9" s="15" t="n">
        <v>500</v>
      </c>
      <c r="K9" s="16" t="n"/>
      <c r="L9" s="15" t="n"/>
      <c r="M9" s="15" t="n"/>
      <c r="N9" s="9" t="n"/>
      <c r="O9" s="10" t="n"/>
      <c r="P9" s="9" t="n"/>
      <c r="Q9" t="n">
        <v>62</v>
      </c>
    </row>
    <row r="10" ht="15" customHeight="1">
      <c r="A10" s="7" t="inlineStr">
        <is>
          <t>9</t>
        </is>
      </c>
      <c r="B10" s="15" t="inlineStr">
        <is>
          <t>Груж</t>
        </is>
      </c>
      <c r="C10" s="15" t="n">
        <v>63267959</v>
      </c>
      <c r="D10" s="15" t="n">
        <v>37487104</v>
      </c>
      <c r="E10" s="14" t="n">
        <v>45716</v>
      </c>
      <c r="F10" s="15" t="inlineStr">
        <is>
          <t>ВЫШЕСТЕБЛИЕВСКАЯ-ЭКСПОРТ</t>
        </is>
      </c>
      <c r="G10" s="15" t="inlineStr">
        <is>
          <t>ДОН</t>
        </is>
      </c>
      <c r="H10" s="15" t="inlineStr">
        <is>
          <t>487169</t>
        </is>
      </c>
      <c r="I10" s="15" t="inlineStr">
        <is>
          <t>Транспортно-экспедиторское обслуживание</t>
        </is>
      </c>
      <c r="J10" s="15" t="n">
        <v>500</v>
      </c>
      <c r="K10" s="16" t="n"/>
      <c r="L10" s="15" t="n"/>
      <c r="M10" s="15" t="n"/>
      <c r="N10" s="9" t="n"/>
      <c r="O10" s="10" t="n"/>
      <c r="P10" s="9" t="n"/>
      <c r="Q10" t="n">
        <v>62</v>
      </c>
    </row>
    <row r="11" ht="15" customHeight="1">
      <c r="A11" s="7" t="inlineStr">
        <is>
          <t>10</t>
        </is>
      </c>
      <c r="B11" s="15" t="inlineStr">
        <is>
          <t>Груж</t>
        </is>
      </c>
      <c r="C11" s="15" t="n">
        <v>63473722</v>
      </c>
      <c r="D11" s="15" t="n">
        <v>37487160</v>
      </c>
      <c r="E11" s="14" t="n">
        <v>45716</v>
      </c>
      <c r="F11" s="15" t="inlineStr">
        <is>
          <t>ВЫШЕСТЕБЛИЕВСКАЯ-ЭКСПОРТ</t>
        </is>
      </c>
      <c r="G11" s="15" t="inlineStr">
        <is>
          <t>ДОН</t>
        </is>
      </c>
      <c r="H11" s="15" t="inlineStr">
        <is>
          <t>487169</t>
        </is>
      </c>
      <c r="I11" s="15" t="inlineStr">
        <is>
          <t>Транспортно-экспедиторское обслуживание</t>
        </is>
      </c>
      <c r="J11" s="15" t="n">
        <v>500</v>
      </c>
      <c r="K11" s="16" t="n"/>
      <c r="L11" s="15" t="n"/>
      <c r="M11" s="15" t="n"/>
      <c r="N11" s="9" t="n"/>
      <c r="O11" s="10" t="n"/>
      <c r="P11" s="9" t="n"/>
      <c r="Q11" t="n">
        <v>62</v>
      </c>
    </row>
    <row r="12">
      <c r="Q12" t="n">
        <v>0</v>
      </c>
    </row>
    <row r="13">
      <c r="J13" s="13">
        <f>SUBTOTAL(109,J2:J11)</f>
        <v/>
      </c>
      <c r="Q13" t="n">
        <v>0</v>
      </c>
    </row>
  </sheetData>
  <autoFilter ref="A1:M4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2025-03-09T11:00:37Z</dcterms:modified>
  <cp:lastModifiedBy>user</cp:lastModifiedBy>
  <cp:lastPrinted>2024-11-14T07:07:26Z</cp:lastPrinted>
</cp:coreProperties>
</file>