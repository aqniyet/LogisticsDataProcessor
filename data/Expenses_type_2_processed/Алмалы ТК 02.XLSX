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заполнения'!$A$1:$M$89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_-;\-* #,##0.00_-;_-* &quot;-&quot;??_-;_-@_-"/>
  </numFmts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color rgb="FF000000"/>
      <sz val="11"/>
    </font>
    <font>
      <name val="Calibri"/>
      <charset val="204"/>
      <family val="2"/>
      <color indexed="8"/>
      <sz val="11"/>
    </font>
    <font>
      <name val="Arial Cyr"/>
      <color indexed="8"/>
      <sz val="10"/>
    </font>
    <font>
      <name val="Arial Cyr"/>
      <charset val="204"/>
      <sz val="10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1" fillId="0" borderId="0"/>
    <xf numFmtId="164" fontId="1" fillId="0" borderId="0"/>
    <xf numFmtId="0" fontId="6" fillId="0" borderId="0"/>
    <xf numFmtId="0" fontId="1" fillId="0" borderId="0"/>
    <xf numFmtId="0" fontId="1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6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49" fontId="2" fillId="3" borderId="6" applyAlignment="1" pivotButton="0" quotePrefix="0" xfId="0">
      <alignment horizontal="center" vertical="center"/>
    </xf>
    <xf numFmtId="0" fontId="5" fillId="0" borderId="0" pivotButton="0" quotePrefix="0" xfId="0"/>
    <xf numFmtId="164" fontId="2" fillId="0" borderId="0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/>
    </xf>
    <xf numFmtId="164" fontId="5" fillId="0" borderId="1" applyAlignment="1" pivotButton="0" quotePrefix="0" xfId="1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49" fontId="2" fillId="0" borderId="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1">
      <alignment horizontal="center" vertical="center"/>
    </xf>
    <xf numFmtId="14" fontId="5" fillId="0" borderId="5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0" fontId="7" fillId="0" borderId="1" applyAlignment="1" pivotButton="0" quotePrefix="0" xfId="2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164" fontId="5" fillId="0" borderId="1" applyAlignment="1" pivotButton="0" quotePrefix="0" xfId="1">
      <alignment horizontal="center" vertical="center"/>
    </xf>
  </cellXfs>
  <cellStyles count="30">
    <cellStyle name="Normal" xfId="0" builtinId="0"/>
    <cellStyle name="Comma" xfId="1" builtinId="3"/>
    <cellStyle name="Обычный 2" xfId="2"/>
    <cellStyle name="Обычный 3" xfId="3"/>
    <cellStyle name="Обычный 6" xfId="4"/>
    <cellStyle name="Обычный 2 2" xfId="5"/>
    <cellStyle name="Обычный 4" xfId="6"/>
    <cellStyle name="Обычный 4 12" xfId="7"/>
    <cellStyle name="Обычный 4 13" xfId="8"/>
    <cellStyle name="Обычный 4 14" xfId="9"/>
    <cellStyle name="Обычный 4 15" xfId="10"/>
    <cellStyle name="Обычный 4 16" xfId="11"/>
    <cellStyle name="Обычный 4 17" xfId="12"/>
    <cellStyle name="Обычный 4 18" xfId="13"/>
    <cellStyle name="Обычный 4 19" xfId="14"/>
    <cellStyle name="Обычный 4 21" xfId="15"/>
    <cellStyle name="Обычный 4 22" xfId="16"/>
    <cellStyle name="Обычный 4 23" xfId="17"/>
    <cellStyle name="Обычный 4 24" xfId="18"/>
    <cellStyle name="Обычный 5" xfId="19"/>
    <cellStyle name="Обычный 5 10" xfId="20"/>
    <cellStyle name="Обычный 5 11" xfId="21"/>
    <cellStyle name="Обычный 5 12" xfId="22"/>
    <cellStyle name="Обычный 5 13" xfId="23"/>
    <cellStyle name="Обычный 5 9" xfId="24"/>
    <cellStyle name="Обычный 7 2" xfId="25"/>
    <cellStyle name="Обычный 7" xfId="26"/>
    <cellStyle name="Обычный 6 2" xfId="27"/>
    <cellStyle name="Обычный 3 2" xfId="28"/>
    <cellStyle name="Финансовый 2" xfId="2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tabSelected="1" zoomScale="80" zoomScaleNormal="80" workbookViewId="0">
      <pane ySplit="1" topLeftCell="A2" activePane="bottomLeft" state="frozen"/>
      <selection pane="bottomLeft" activeCell="O1" activeCellId="1" sqref="N1:N1048576 O1:O1048576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23" customWidth="1" style="1" min="7" max="7"/>
    <col width="26.7109375" bestFit="1" customWidth="1" style="1" min="8" max="8"/>
    <col width="45.140625" bestFit="1" customWidth="1" style="2" min="9" max="9"/>
    <col width="18.28515625" bestFit="1" customWidth="1" style="25" min="10" max="10"/>
    <col width="13.140625" customWidth="1" style="2" min="11" max="11"/>
    <col width="10.7109375" customWidth="1" style="2" min="12" max="12"/>
    <col width="9.7109375" customWidth="1" style="2" min="13" max="13"/>
    <col width="26.42578125" customWidth="1" style="8" min="14" max="16384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26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t="inlineStr">
        <is>
          <t>ЗНП</t>
        </is>
      </c>
    </row>
    <row r="2" ht="15" customHeight="1">
      <c r="A2" s="10" t="n">
        <v>1</v>
      </c>
      <c r="B2" s="7" t="inlineStr">
        <is>
          <t>Груж</t>
        </is>
      </c>
      <c r="C2" s="19" t="n">
        <v>62160270</v>
      </c>
      <c r="D2" s="20" t="inlineStr">
        <is>
          <t>ЭЛ869459</t>
        </is>
      </c>
      <c r="E2" s="21" t="n">
        <v>45689</v>
      </c>
      <c r="F2" s="22" t="inlineStr">
        <is>
          <t>Жем</t>
        </is>
      </c>
      <c r="G2" s="23" t="inlineStr">
        <is>
          <t>Баталы</t>
        </is>
      </c>
      <c r="H2" s="24" t="inlineStr">
        <is>
          <t>РУДЫ ДРАГМЕТ</t>
        </is>
      </c>
      <c r="I2" s="12" t="inlineStr">
        <is>
          <t>Транспортно-экспедиторское обслуживание</t>
        </is>
      </c>
      <c r="J2" s="27" t="n">
        <v>200000</v>
      </c>
      <c r="K2" s="18" t="inlineStr">
        <is>
          <t>12%</t>
        </is>
      </c>
      <c r="L2" s="13" t="n">
        <v>41</v>
      </c>
      <c r="M2" s="14" t="n"/>
      <c r="N2" t="n">
        <v>41</v>
      </c>
    </row>
    <row r="3" ht="15" customHeight="1">
      <c r="A3" s="10" t="n">
        <v>2</v>
      </c>
      <c r="B3" s="7" t="inlineStr">
        <is>
          <t>Груж</t>
        </is>
      </c>
      <c r="C3" s="19" t="n">
        <v>60050838</v>
      </c>
      <c r="D3" s="20" t="inlineStr">
        <is>
          <t>ЭЛ869463</t>
        </is>
      </c>
      <c r="E3" s="21" t="n">
        <v>45689</v>
      </c>
      <c r="F3" s="22" t="inlineStr">
        <is>
          <t>Жем</t>
        </is>
      </c>
      <c r="G3" s="23" t="inlineStr">
        <is>
          <t>Баталы</t>
        </is>
      </c>
      <c r="H3" s="24" t="inlineStr">
        <is>
          <t>РУДЫ ДРАГМЕТ</t>
        </is>
      </c>
      <c r="I3" s="12" t="inlineStr">
        <is>
          <t>Транспортно-экспедиторское обслуживание</t>
        </is>
      </c>
      <c r="J3" s="27" t="n">
        <v>200000</v>
      </c>
      <c r="K3" s="17" t="inlineStr">
        <is>
          <t>12%</t>
        </is>
      </c>
      <c r="L3" s="13" t="n">
        <v>41</v>
      </c>
      <c r="M3" s="14" t="n"/>
      <c r="N3" t="n">
        <v>41</v>
      </c>
    </row>
    <row r="4" ht="15" customHeight="1">
      <c r="A4" s="10" t="n">
        <v>3</v>
      </c>
      <c r="B4" s="7" t="inlineStr">
        <is>
          <t>Груж</t>
        </is>
      </c>
      <c r="C4" s="19" t="n">
        <v>62516968</v>
      </c>
      <c r="D4" s="20" t="inlineStr">
        <is>
          <t>ЭЛ869463</t>
        </is>
      </c>
      <c r="E4" s="21" t="n">
        <v>45689</v>
      </c>
      <c r="F4" s="22" t="inlineStr">
        <is>
          <t>Жем</t>
        </is>
      </c>
      <c r="G4" s="23" t="inlineStr">
        <is>
          <t>Баталы</t>
        </is>
      </c>
      <c r="H4" s="24" t="inlineStr">
        <is>
          <t>РУДЫ ДРАГМЕТ</t>
        </is>
      </c>
      <c r="I4" s="12" t="inlineStr">
        <is>
          <t>Транспортно-экспедиторское обслуживание</t>
        </is>
      </c>
      <c r="J4" s="27" t="n">
        <v>200000</v>
      </c>
      <c r="K4" s="17" t="inlineStr">
        <is>
          <t>12%</t>
        </is>
      </c>
      <c r="L4" s="13" t="n">
        <v>41</v>
      </c>
      <c r="M4" s="14" t="n"/>
      <c r="N4" t="n">
        <v>41</v>
      </c>
    </row>
    <row r="5" ht="15" customHeight="1">
      <c r="A5" s="10" t="n">
        <v>4</v>
      </c>
      <c r="B5" s="7" t="inlineStr">
        <is>
          <t>Груж</t>
        </is>
      </c>
      <c r="C5" s="19" t="n">
        <v>62199633</v>
      </c>
      <c r="D5" s="20" t="inlineStr">
        <is>
          <t>ЭЛ869463</t>
        </is>
      </c>
      <c r="E5" s="21" t="n">
        <v>45689</v>
      </c>
      <c r="F5" s="22" t="inlineStr">
        <is>
          <t>Жем</t>
        </is>
      </c>
      <c r="G5" s="23" t="inlineStr">
        <is>
          <t>Баталы</t>
        </is>
      </c>
      <c r="H5" s="24" t="inlineStr">
        <is>
          <t>РУДЫ ДРАГМЕТ</t>
        </is>
      </c>
      <c r="I5" s="12" t="inlineStr">
        <is>
          <t>Транспортно-экспедиторское обслуживание</t>
        </is>
      </c>
      <c r="J5" s="27" t="n">
        <v>200000</v>
      </c>
      <c r="K5" s="17" t="inlineStr">
        <is>
          <t>12%</t>
        </is>
      </c>
      <c r="L5" s="13" t="n">
        <v>41</v>
      </c>
      <c r="M5" s="14" t="n"/>
      <c r="N5" t="n">
        <v>41</v>
      </c>
    </row>
    <row r="6" ht="15" customHeight="1">
      <c r="A6" s="10" t="n">
        <v>5</v>
      </c>
      <c r="B6" s="7" t="inlineStr">
        <is>
          <t>Груж</t>
        </is>
      </c>
      <c r="C6" s="19" t="n">
        <v>60038239</v>
      </c>
      <c r="D6" s="20" t="inlineStr">
        <is>
          <t>ЭЛ869463</t>
        </is>
      </c>
      <c r="E6" s="21" t="n">
        <v>45689</v>
      </c>
      <c r="F6" s="22" t="inlineStr">
        <is>
          <t>Жем</t>
        </is>
      </c>
      <c r="G6" s="23" t="inlineStr">
        <is>
          <t>Баталы</t>
        </is>
      </c>
      <c r="H6" s="24" t="inlineStr">
        <is>
          <t>РУДЫ ДРАГМЕТ</t>
        </is>
      </c>
      <c r="I6" s="12" t="inlineStr">
        <is>
          <t>Транспортно-экспедиторское обслуживание</t>
        </is>
      </c>
      <c r="J6" s="27" t="n">
        <v>200000</v>
      </c>
      <c r="K6" s="18" t="inlineStr">
        <is>
          <t>12%</t>
        </is>
      </c>
      <c r="L6" s="13" t="n">
        <v>41</v>
      </c>
      <c r="M6" s="14" t="n"/>
      <c r="N6" t="n">
        <v>41</v>
      </c>
    </row>
    <row r="7" ht="15" customHeight="1">
      <c r="A7" s="10" t="n">
        <v>6</v>
      </c>
      <c r="B7" s="7" t="inlineStr">
        <is>
          <t>Груж</t>
        </is>
      </c>
      <c r="C7" s="19" t="n">
        <v>62351101</v>
      </c>
      <c r="D7" s="20" t="inlineStr">
        <is>
          <t>ЭЛ873276</t>
        </is>
      </c>
      <c r="E7" s="21" t="n">
        <v>45690</v>
      </c>
      <c r="F7" s="22" t="inlineStr">
        <is>
          <t>Жем</t>
        </is>
      </c>
      <c r="G7" s="23" t="inlineStr">
        <is>
          <t>Баталы</t>
        </is>
      </c>
      <c r="H7" s="24" t="inlineStr">
        <is>
          <t>РУДЫ ДРАГМЕТ</t>
        </is>
      </c>
      <c r="I7" s="12" t="inlineStr">
        <is>
          <t>Транспортно-экспедиторское обслуживание</t>
        </is>
      </c>
      <c r="J7" s="27" t="n">
        <v>200000</v>
      </c>
      <c r="K7" s="17" t="inlineStr">
        <is>
          <t>12%</t>
        </is>
      </c>
      <c r="L7" s="13" t="n">
        <v>41</v>
      </c>
      <c r="M7" s="14" t="n"/>
      <c r="N7" t="n">
        <v>41</v>
      </c>
    </row>
    <row r="8" ht="15" customHeight="1">
      <c r="A8" s="10" t="n">
        <v>7</v>
      </c>
      <c r="B8" s="7" t="inlineStr">
        <is>
          <t>Груж</t>
        </is>
      </c>
      <c r="C8" s="19" t="n">
        <v>64473580</v>
      </c>
      <c r="D8" s="20" t="inlineStr">
        <is>
          <t>ЭЛ873708</t>
        </is>
      </c>
      <c r="E8" s="21" t="n">
        <v>45690</v>
      </c>
      <c r="F8" s="22" t="inlineStr">
        <is>
          <t>Жомарт</t>
        </is>
      </c>
      <c r="G8" s="23" t="inlineStr">
        <is>
          <t>Оскемен-1</t>
        </is>
      </c>
      <c r="H8" s="24" t="inlineStr">
        <is>
          <t>КОНЦЕНТР ЦИН</t>
        </is>
      </c>
      <c r="I8" s="12" t="inlineStr">
        <is>
          <t>Транспортно-экспедиторское обслуживание</t>
        </is>
      </c>
      <c r="J8" s="27" t="n">
        <v>300000</v>
      </c>
      <c r="K8" s="18" t="inlineStr">
        <is>
          <t>12%</t>
        </is>
      </c>
      <c r="L8" s="15" t="n">
        <v>38</v>
      </c>
      <c r="M8" s="14" t="n"/>
      <c r="N8" t="n">
        <v>38</v>
      </c>
    </row>
    <row r="9" ht="15" customHeight="1">
      <c r="A9" s="10" t="n">
        <v>8</v>
      </c>
      <c r="B9" s="7" t="inlineStr">
        <is>
          <t>Груж</t>
        </is>
      </c>
      <c r="C9" s="19" t="n">
        <v>60639085</v>
      </c>
      <c r="D9" s="20" t="inlineStr">
        <is>
          <t>ЭЛ874724</t>
        </is>
      </c>
      <c r="E9" s="21" t="n">
        <v>45690</v>
      </c>
      <c r="F9" s="22" t="inlineStr">
        <is>
          <t>Жем</t>
        </is>
      </c>
      <c r="G9" s="23" t="inlineStr">
        <is>
          <t>Баталы</t>
        </is>
      </c>
      <c r="H9" s="24" t="inlineStr">
        <is>
          <t>РУДЫ ДРАГМЕТ</t>
        </is>
      </c>
      <c r="I9" s="12" t="inlineStr">
        <is>
          <t>Транспортно-экспедиторское обслуживание</t>
        </is>
      </c>
      <c r="J9" s="27" t="n">
        <v>200000</v>
      </c>
      <c r="K9" s="18" t="inlineStr">
        <is>
          <t>12%</t>
        </is>
      </c>
      <c r="L9" s="15" t="n">
        <v>41</v>
      </c>
      <c r="M9" s="14" t="n"/>
      <c r="N9" t="n">
        <v>41</v>
      </c>
    </row>
    <row r="10" ht="15" customHeight="1">
      <c r="A10" s="10" t="n">
        <v>9</v>
      </c>
      <c r="B10" s="7" t="inlineStr">
        <is>
          <t>Груж</t>
        </is>
      </c>
      <c r="C10" s="19" t="n">
        <v>62365523</v>
      </c>
      <c r="D10" s="20" t="n">
        <v>20300327</v>
      </c>
      <c r="E10" s="21" t="n">
        <v>45691</v>
      </c>
      <c r="F10" s="22" t="inlineStr">
        <is>
          <t>Жомарт</t>
        </is>
      </c>
      <c r="G10" s="23" t="inlineStr">
        <is>
          <t>Достык (эксп.)</t>
        </is>
      </c>
      <c r="H10" s="24" t="inlineStr">
        <is>
          <t>КОНЦЕНТР ЦИН</t>
        </is>
      </c>
      <c r="I10" s="12" t="inlineStr">
        <is>
          <t>Транспортно-экспедиторское обслуживание</t>
        </is>
      </c>
      <c r="J10" s="27" t="n">
        <v>300000</v>
      </c>
      <c r="K10" s="18" t="inlineStr">
        <is>
          <t>Без НДС</t>
        </is>
      </c>
      <c r="L10" s="15" t="n">
        <v>40</v>
      </c>
      <c r="M10" s="14" t="n"/>
      <c r="N10" t="n">
        <v>40</v>
      </c>
    </row>
    <row r="11" ht="15" customHeight="1">
      <c r="A11" s="10" t="n">
        <v>10</v>
      </c>
      <c r="B11" s="7" t="inlineStr">
        <is>
          <t>Груж</t>
        </is>
      </c>
      <c r="C11" s="19" t="n">
        <v>62625827</v>
      </c>
      <c r="D11" s="20" t="n">
        <v>20300321</v>
      </c>
      <c r="E11" s="21" t="n">
        <v>45691</v>
      </c>
      <c r="F11" s="22" t="inlineStr">
        <is>
          <t>Жомарт</t>
        </is>
      </c>
      <c r="G11" s="23" t="inlineStr">
        <is>
          <t>Достык (эксп.)</t>
        </is>
      </c>
      <c r="H11" s="24" t="inlineStr">
        <is>
          <t>КОНЦЕНТР ЦИН</t>
        </is>
      </c>
      <c r="I11" s="12" t="inlineStr">
        <is>
          <t>Транспортно-экспедиторское обслуживание</t>
        </is>
      </c>
      <c r="J11" s="27" t="n">
        <v>300000</v>
      </c>
      <c r="K11" s="18" t="inlineStr">
        <is>
          <t>Без НДС</t>
        </is>
      </c>
      <c r="L11" s="15" t="n">
        <v>40</v>
      </c>
      <c r="M11" s="14" t="n"/>
      <c r="N11" t="n">
        <v>40</v>
      </c>
    </row>
    <row r="12" ht="15" customHeight="1">
      <c r="A12" s="10" t="n">
        <v>11</v>
      </c>
      <c r="B12" s="7" t="inlineStr">
        <is>
          <t>Груж</t>
        </is>
      </c>
      <c r="C12" s="19" t="n">
        <v>62517784</v>
      </c>
      <c r="D12" s="20" t="n">
        <v>20299990</v>
      </c>
      <c r="E12" s="21" t="n">
        <v>45691</v>
      </c>
      <c r="F12" s="22" t="inlineStr">
        <is>
          <t>Жомарт</t>
        </is>
      </c>
      <c r="G12" s="23" t="inlineStr">
        <is>
          <t>Достык (эксп.)</t>
        </is>
      </c>
      <c r="H12" s="24" t="inlineStr">
        <is>
          <t>КОНЦЕНТР ЦИН</t>
        </is>
      </c>
      <c r="I12" s="12" t="inlineStr">
        <is>
          <t>Транспортно-экспедиторское обслуживание</t>
        </is>
      </c>
      <c r="J12" s="27" t="n">
        <v>300000</v>
      </c>
      <c r="K12" s="18" t="inlineStr">
        <is>
          <t>Без НДС</t>
        </is>
      </c>
      <c r="L12" s="15" t="n">
        <v>40</v>
      </c>
      <c r="M12" s="14" t="n"/>
      <c r="N12" t="n">
        <v>40</v>
      </c>
    </row>
    <row r="13" ht="15" customHeight="1">
      <c r="A13" s="10" t="n">
        <v>12</v>
      </c>
      <c r="B13" s="7" t="inlineStr">
        <is>
          <t>Груж</t>
        </is>
      </c>
      <c r="C13" s="19" t="n">
        <v>60518776</v>
      </c>
      <c r="D13" s="20" t="inlineStr">
        <is>
          <t>ЭЛ877455</t>
        </is>
      </c>
      <c r="E13" s="21" t="n">
        <v>45691</v>
      </c>
      <c r="F13" s="22" t="inlineStr">
        <is>
          <t>Жем</t>
        </is>
      </c>
      <c r="G13" s="23" t="inlineStr">
        <is>
          <t>Баталы</t>
        </is>
      </c>
      <c r="H13" s="24" t="inlineStr">
        <is>
          <t>РУДЫ ДРАГМЕТ</t>
        </is>
      </c>
      <c r="I13" s="12" t="inlineStr">
        <is>
          <t>Транспортно-экспедиторское обслуживание</t>
        </is>
      </c>
      <c r="J13" s="27" t="n">
        <v>200000</v>
      </c>
      <c r="K13" s="18" t="inlineStr">
        <is>
          <t>12%</t>
        </is>
      </c>
      <c r="L13" s="15" t="n">
        <v>41</v>
      </c>
      <c r="M13" s="14" t="n"/>
      <c r="N13" t="n">
        <v>41</v>
      </c>
    </row>
    <row r="14" ht="15" customHeight="1">
      <c r="A14" s="10" t="n">
        <v>13</v>
      </c>
      <c r="B14" s="7" t="inlineStr">
        <is>
          <t>Груж</t>
        </is>
      </c>
      <c r="C14" s="19" t="n">
        <v>62160254</v>
      </c>
      <c r="D14" s="20" t="inlineStr">
        <is>
          <t>ЭЛ879212</t>
        </is>
      </c>
      <c r="E14" s="21" t="n">
        <v>45692</v>
      </c>
      <c r="F14" s="22" t="inlineStr">
        <is>
          <t>Жем</t>
        </is>
      </c>
      <c r="G14" s="23" t="inlineStr">
        <is>
          <t>Баталы</t>
        </is>
      </c>
      <c r="H14" s="24" t="inlineStr">
        <is>
          <t>РУДЫ ДРАГМЕТ</t>
        </is>
      </c>
      <c r="I14" s="12" t="inlineStr">
        <is>
          <t>Транспортно-экспедиторское обслуживание</t>
        </is>
      </c>
      <c r="J14" s="27" t="n">
        <v>200000</v>
      </c>
      <c r="K14" s="18" t="inlineStr">
        <is>
          <t>12%</t>
        </is>
      </c>
      <c r="L14" s="15" t="n">
        <v>41</v>
      </c>
      <c r="M14" s="14" t="n"/>
      <c r="N14" t="n">
        <v>41</v>
      </c>
    </row>
    <row r="15" ht="15" customHeight="1">
      <c r="A15" s="10" t="n">
        <v>14</v>
      </c>
      <c r="B15" s="7" t="inlineStr">
        <is>
          <t>Груж</t>
        </is>
      </c>
      <c r="C15" s="19" t="n">
        <v>60656444</v>
      </c>
      <c r="D15" s="20" t="inlineStr">
        <is>
          <t>ЭЛ881029</t>
        </is>
      </c>
      <c r="E15" s="21" t="n">
        <v>45692</v>
      </c>
      <c r="F15" s="22" t="inlineStr">
        <is>
          <t>Жомарт</t>
        </is>
      </c>
      <c r="G15" s="23" t="inlineStr">
        <is>
          <t>Оскемен-1</t>
        </is>
      </c>
      <c r="H15" s="24" t="inlineStr">
        <is>
          <t>КОНЦЕНТР ЦИН</t>
        </is>
      </c>
      <c r="I15" s="12" t="inlineStr">
        <is>
          <t>Транспортно-экспедиторское обслуживание</t>
        </is>
      </c>
      <c r="J15" s="27" t="n">
        <v>300000</v>
      </c>
      <c r="K15" s="18" t="inlineStr">
        <is>
          <t>12%</t>
        </is>
      </c>
      <c r="L15" s="15" t="n">
        <v>38</v>
      </c>
      <c r="M15" s="14" t="n"/>
      <c r="N15" t="n">
        <v>38</v>
      </c>
    </row>
    <row r="16" ht="15" customHeight="1">
      <c r="A16" s="10" t="n">
        <v>15</v>
      </c>
      <c r="B16" s="7" t="inlineStr">
        <is>
          <t>Груж</t>
        </is>
      </c>
      <c r="C16" s="19" t="n">
        <v>62517305</v>
      </c>
      <c r="D16" s="20" t="inlineStr">
        <is>
          <t>ЭЛ881036</t>
        </is>
      </c>
      <c r="E16" s="21" t="n">
        <v>45692</v>
      </c>
      <c r="F16" s="22" t="inlineStr">
        <is>
          <t>Жомарт</t>
        </is>
      </c>
      <c r="G16" s="23" t="inlineStr">
        <is>
          <t>Оскемен-1</t>
        </is>
      </c>
      <c r="H16" s="24" t="inlineStr">
        <is>
          <t>КОНЦЕНТР ЦИН</t>
        </is>
      </c>
      <c r="I16" s="12" t="inlineStr">
        <is>
          <t>Транспортно-экспедиторское обслуживание</t>
        </is>
      </c>
      <c r="J16" s="27" t="n">
        <v>300000</v>
      </c>
      <c r="K16" s="18" t="inlineStr">
        <is>
          <t>12%</t>
        </is>
      </c>
      <c r="L16" s="15" t="n">
        <v>38</v>
      </c>
      <c r="M16" s="14" t="n"/>
      <c r="N16" t="n">
        <v>38</v>
      </c>
    </row>
    <row r="17" ht="15" customHeight="1">
      <c r="A17" s="10" t="n">
        <v>16</v>
      </c>
      <c r="B17" s="7" t="inlineStr">
        <is>
          <t>Груж</t>
        </is>
      </c>
      <c r="C17" s="19" t="n">
        <v>62364039</v>
      </c>
      <c r="D17" s="20" t="inlineStr">
        <is>
          <t>ЭЛ882577</t>
        </is>
      </c>
      <c r="E17" s="21" t="n">
        <v>45692</v>
      </c>
      <c r="F17" s="22" t="inlineStr">
        <is>
          <t>Жем</t>
        </is>
      </c>
      <c r="G17" s="23" t="inlineStr">
        <is>
          <t>Баталы</t>
        </is>
      </c>
      <c r="H17" s="24" t="inlineStr">
        <is>
          <t>РУДЫ ДРАГМЕТ</t>
        </is>
      </c>
      <c r="I17" s="12" t="inlineStr">
        <is>
          <t>Транспортно-экспедиторское обслуживание</t>
        </is>
      </c>
      <c r="J17" s="27" t="n">
        <v>200000</v>
      </c>
      <c r="K17" s="18" t="inlineStr">
        <is>
          <t>12%</t>
        </is>
      </c>
      <c r="L17" s="15" t="n">
        <v>41</v>
      </c>
      <c r="M17" s="14" t="n"/>
      <c r="N17" t="n">
        <v>41</v>
      </c>
    </row>
    <row r="18" ht="15" customHeight="1">
      <c r="A18" s="10" t="n">
        <v>17</v>
      </c>
      <c r="B18" s="7" t="inlineStr">
        <is>
          <t>Груж</t>
        </is>
      </c>
      <c r="C18" s="19" t="n">
        <v>65577959</v>
      </c>
      <c r="D18" s="20" t="n">
        <v>20304035</v>
      </c>
      <c r="E18" s="21" t="n">
        <v>45693</v>
      </c>
      <c r="F18" s="22" t="inlineStr">
        <is>
          <t>Жомарт</t>
        </is>
      </c>
      <c r="G18" s="23" t="inlineStr">
        <is>
          <t>Достык (эксп.)</t>
        </is>
      </c>
      <c r="H18" s="24" t="inlineStr">
        <is>
          <t>КОНЦЕНТР ЦИН</t>
        </is>
      </c>
      <c r="I18" s="12" t="inlineStr">
        <is>
          <t>Транспортно-экспедиторское обслуживание</t>
        </is>
      </c>
      <c r="J18" s="27" t="n">
        <v>300000</v>
      </c>
      <c r="K18" s="18" t="inlineStr">
        <is>
          <t>Без НДС</t>
        </is>
      </c>
      <c r="L18" s="15" t="n">
        <v>40</v>
      </c>
      <c r="M18" s="14" t="n"/>
      <c r="N18" t="n">
        <v>40</v>
      </c>
    </row>
    <row r="19" ht="15" customHeight="1">
      <c r="A19" s="10" t="n">
        <v>18</v>
      </c>
      <c r="B19" s="7" t="inlineStr">
        <is>
          <t>Груж</t>
        </is>
      </c>
      <c r="C19" s="19" t="n">
        <v>62160437</v>
      </c>
      <c r="D19" s="20" t="n">
        <v>20303263</v>
      </c>
      <c r="E19" s="21" t="n">
        <v>45693</v>
      </c>
      <c r="F19" s="22" t="inlineStr">
        <is>
          <t>Кызылжар</t>
        </is>
      </c>
      <c r="G19" s="23" t="inlineStr">
        <is>
          <t>Сырдарьинская</t>
        </is>
      </c>
      <c r="H19" s="24" t="inlineStr">
        <is>
          <t xml:space="preserve">УГОЛЬ Д     </t>
        </is>
      </c>
      <c r="I19" s="12" t="inlineStr">
        <is>
          <t>Транспортно-экспедиторское обслуживание</t>
        </is>
      </c>
      <c r="J19" s="27" t="n">
        <v>350000</v>
      </c>
      <c r="K19" s="18" t="inlineStr">
        <is>
          <t>Без НДС</t>
        </is>
      </c>
      <c r="L19" s="15" t="inlineStr">
        <is>
          <t>46</t>
        </is>
      </c>
      <c r="M19" s="14" t="n"/>
      <c r="N19" t="n">
        <v>46</v>
      </c>
    </row>
    <row r="20" ht="15" customHeight="1">
      <c r="A20" s="10" t="n">
        <v>19</v>
      </c>
      <c r="B20" s="7" t="inlineStr">
        <is>
          <t>Груж</t>
        </is>
      </c>
      <c r="C20" s="19" t="n">
        <v>62626171</v>
      </c>
      <c r="D20" s="20" t="n">
        <v>20303263</v>
      </c>
      <c r="E20" s="21" t="n">
        <v>45693</v>
      </c>
      <c r="F20" s="22" t="inlineStr">
        <is>
          <t>Кызылжар</t>
        </is>
      </c>
      <c r="G20" s="23" t="inlineStr">
        <is>
          <t>Сырдарьинская</t>
        </is>
      </c>
      <c r="H20" s="24" t="inlineStr">
        <is>
          <t xml:space="preserve">УГОЛЬ Д     </t>
        </is>
      </c>
      <c r="I20" s="12" t="inlineStr">
        <is>
          <t>Транспортно-экспедиторское обслуживание</t>
        </is>
      </c>
      <c r="J20" s="27" t="n">
        <v>350000</v>
      </c>
      <c r="K20" s="18" t="inlineStr">
        <is>
          <t>Без НДС</t>
        </is>
      </c>
      <c r="L20" s="15" t="inlineStr">
        <is>
          <t>46</t>
        </is>
      </c>
      <c r="M20" s="14" t="n"/>
      <c r="N20" t="n">
        <v>46</v>
      </c>
    </row>
    <row r="21" ht="15" customHeight="1">
      <c r="A21" s="10" t="n">
        <v>20</v>
      </c>
      <c r="B21" s="7" t="inlineStr">
        <is>
          <t>Груж</t>
        </is>
      </c>
      <c r="C21" s="19" t="n">
        <v>60008513</v>
      </c>
      <c r="D21" s="20" t="n">
        <v>20303926</v>
      </c>
      <c r="E21" s="21" t="n">
        <v>45693</v>
      </c>
      <c r="F21" s="22" t="inlineStr">
        <is>
          <t>Жомарт</t>
        </is>
      </c>
      <c r="G21" s="23" t="inlineStr">
        <is>
          <t>Достык (эксп.)</t>
        </is>
      </c>
      <c r="H21" s="24" t="inlineStr">
        <is>
          <t>КОНЦЕНТР ЦИН</t>
        </is>
      </c>
      <c r="I21" s="12" t="inlineStr">
        <is>
          <t>Транспортно-экспедиторское обслуживание</t>
        </is>
      </c>
      <c r="J21" s="27" t="n">
        <v>300000</v>
      </c>
      <c r="K21" s="18" t="inlineStr">
        <is>
          <t>Без НДС</t>
        </is>
      </c>
      <c r="L21" s="15" t="n">
        <v>40</v>
      </c>
      <c r="M21" s="14" t="n"/>
      <c r="N21" t="n">
        <v>40</v>
      </c>
    </row>
    <row r="22" ht="15" customHeight="1">
      <c r="A22" s="10" t="n">
        <v>21</v>
      </c>
      <c r="B22" s="7" t="inlineStr">
        <is>
          <t>Груж</t>
        </is>
      </c>
      <c r="C22" s="19" t="n">
        <v>62351408</v>
      </c>
      <c r="D22" s="20" t="inlineStr">
        <is>
          <t>ЭЛ885557</t>
        </is>
      </c>
      <c r="E22" s="21" t="n">
        <v>45693</v>
      </c>
      <c r="F22" s="22" t="inlineStr">
        <is>
          <t>Жем</t>
        </is>
      </c>
      <c r="G22" s="23" t="inlineStr">
        <is>
          <t>Баталы</t>
        </is>
      </c>
      <c r="H22" s="24" t="inlineStr">
        <is>
          <t>РУДЫ ДРАГМЕТ</t>
        </is>
      </c>
      <c r="I22" s="12" t="inlineStr">
        <is>
          <t>Транспортно-экспедиторское обслуживание</t>
        </is>
      </c>
      <c r="J22" s="27" t="n">
        <v>200000</v>
      </c>
      <c r="K22" s="18" t="inlineStr">
        <is>
          <t>12%</t>
        </is>
      </c>
      <c r="L22" s="15" t="n">
        <v>41</v>
      </c>
      <c r="M22" s="14" t="n"/>
      <c r="N22" t="n">
        <v>41</v>
      </c>
    </row>
    <row r="23" ht="15" customHeight="1">
      <c r="A23" s="10" t="n">
        <v>22</v>
      </c>
      <c r="B23" s="7" t="inlineStr">
        <is>
          <t>Груж</t>
        </is>
      </c>
      <c r="C23" s="19" t="n">
        <v>60021565</v>
      </c>
      <c r="D23" s="20" t="n">
        <v>20303885</v>
      </c>
      <c r="E23" s="21" t="n">
        <v>45694</v>
      </c>
      <c r="F23" s="22" t="inlineStr">
        <is>
          <t>Костанай</t>
        </is>
      </c>
      <c r="G23" s="23" t="inlineStr">
        <is>
          <t>Жалоир (рзд)</t>
        </is>
      </c>
      <c r="H23" s="24" t="inlineStr">
        <is>
          <t>ИЗД ЧЕРМЕТ П</t>
        </is>
      </c>
      <c r="I23" s="12" t="inlineStr">
        <is>
          <t>Транспортно-экспедиторское обслуживание</t>
        </is>
      </c>
      <c r="J23" s="27" t="n">
        <v>572000</v>
      </c>
      <c r="K23" s="17" t="inlineStr">
        <is>
          <t>Без НДС</t>
        </is>
      </c>
      <c r="L23" s="15" t="n">
        <v>36</v>
      </c>
      <c r="M23" s="14" t="n"/>
      <c r="N23" t="n">
        <v>36</v>
      </c>
    </row>
    <row r="24" ht="15" customHeight="1">
      <c r="A24" s="10" t="n">
        <v>23</v>
      </c>
      <c r="B24" s="7" t="inlineStr">
        <is>
          <t>Груж</t>
        </is>
      </c>
      <c r="C24" s="19" t="n">
        <v>60009800</v>
      </c>
      <c r="D24" s="20" t="inlineStr">
        <is>
          <t>ЭЛ887040</t>
        </is>
      </c>
      <c r="E24" s="21" t="n">
        <v>45694</v>
      </c>
      <c r="F24" s="22" t="inlineStr">
        <is>
          <t>Нура</t>
        </is>
      </c>
      <c r="G24" s="23" t="inlineStr">
        <is>
          <t>Жезказган</t>
        </is>
      </c>
      <c r="H24" s="24" t="inlineStr">
        <is>
          <t xml:space="preserve">УГОЛЬ КАМЕН </t>
        </is>
      </c>
      <c r="I24" s="12" t="inlineStr">
        <is>
          <t>Транспортно-экспедиторское обслуживание</t>
        </is>
      </c>
      <c r="J24" s="27" t="n">
        <v>100000</v>
      </c>
      <c r="K24" s="17" t="inlineStr">
        <is>
          <t>12%</t>
        </is>
      </c>
      <c r="L24" s="15" t="n"/>
      <c r="M24" s="14" t="n"/>
      <c r="N24" t="n">
        <v>58</v>
      </c>
    </row>
    <row r="25" ht="15" customHeight="1">
      <c r="A25" s="10" t="n">
        <v>24</v>
      </c>
      <c r="B25" s="7" t="inlineStr">
        <is>
          <t>Груж</t>
        </is>
      </c>
      <c r="C25" s="19" t="n">
        <v>60655842</v>
      </c>
      <c r="D25" s="20" t="n">
        <v>20307344</v>
      </c>
      <c r="E25" s="21" t="n">
        <v>45695</v>
      </c>
      <c r="F25" s="22" t="inlineStr">
        <is>
          <t>Кызылжар</t>
        </is>
      </c>
      <c r="G25" s="23" t="inlineStr">
        <is>
          <t>Сырдарьинская</t>
        </is>
      </c>
      <c r="H25" s="24" t="inlineStr">
        <is>
          <t xml:space="preserve">УГОЛЬ Д     </t>
        </is>
      </c>
      <c r="I25" s="12" t="inlineStr">
        <is>
          <t>Транспортно-экспедиторское обслуживание</t>
        </is>
      </c>
      <c r="J25" s="27" t="n">
        <v>350000</v>
      </c>
      <c r="K25" s="18" t="inlineStr">
        <is>
          <t>Без НДС</t>
        </is>
      </c>
      <c r="L25" s="15" t="inlineStr">
        <is>
          <t>46</t>
        </is>
      </c>
      <c r="M25" s="14" t="n"/>
      <c r="N25" t="n">
        <v>46</v>
      </c>
    </row>
    <row r="26" ht="15" customHeight="1">
      <c r="A26" s="10" t="n">
        <v>25</v>
      </c>
      <c r="B26" s="7" t="inlineStr">
        <is>
          <t>Груж</t>
        </is>
      </c>
      <c r="C26" s="19" t="n">
        <v>61427985</v>
      </c>
      <c r="D26" s="20" t="inlineStr">
        <is>
          <t>ЭЛ894525</t>
        </is>
      </c>
      <c r="E26" s="21" t="n">
        <v>45696</v>
      </c>
      <c r="F26" s="22" t="inlineStr">
        <is>
          <t>Жем</t>
        </is>
      </c>
      <c r="G26" s="23" t="inlineStr">
        <is>
          <t>Баталы</t>
        </is>
      </c>
      <c r="H26" s="24" t="inlineStr">
        <is>
          <t>РУДЫ ДРАГМЕТ</t>
        </is>
      </c>
      <c r="I26" s="12" t="inlineStr">
        <is>
          <t>Транспортно-экспедиторское обслуживание</t>
        </is>
      </c>
      <c r="J26" s="27" t="n">
        <v>200000</v>
      </c>
      <c r="K26" s="17" t="inlineStr">
        <is>
          <t>12%</t>
        </is>
      </c>
      <c r="L26" s="15" t="n">
        <v>41</v>
      </c>
      <c r="M26" s="14" t="n"/>
      <c r="N26" t="n">
        <v>41</v>
      </c>
    </row>
    <row r="27" ht="15" customHeight="1">
      <c r="A27" s="10" t="n">
        <v>26</v>
      </c>
      <c r="B27" s="7" t="inlineStr">
        <is>
          <t>Груж</t>
        </is>
      </c>
      <c r="C27" s="19" t="n">
        <v>62518576</v>
      </c>
      <c r="D27" s="20" t="inlineStr">
        <is>
          <t>ЭЛ894525</t>
        </is>
      </c>
      <c r="E27" s="21" t="n">
        <v>45696</v>
      </c>
      <c r="F27" s="22" t="inlineStr">
        <is>
          <t>Жем</t>
        </is>
      </c>
      <c r="G27" s="23" t="inlineStr">
        <is>
          <t>Баталы</t>
        </is>
      </c>
      <c r="H27" s="24" t="inlineStr">
        <is>
          <t>РУДЫ ДРАГМЕТ</t>
        </is>
      </c>
      <c r="I27" s="12" t="inlineStr">
        <is>
          <t>Транспортно-экспедиторское обслуживание</t>
        </is>
      </c>
      <c r="J27" s="27" t="n">
        <v>200000</v>
      </c>
      <c r="K27" s="17" t="inlineStr">
        <is>
          <t>12%</t>
        </is>
      </c>
      <c r="L27" s="15" t="n">
        <v>41</v>
      </c>
      <c r="M27" s="14" t="n"/>
      <c r="N27" t="n">
        <v>41</v>
      </c>
    </row>
    <row r="28" ht="15" customHeight="1">
      <c r="A28" s="10" t="n">
        <v>27</v>
      </c>
      <c r="B28" s="7" t="inlineStr">
        <is>
          <t>Груж</t>
        </is>
      </c>
      <c r="C28" s="19" t="n">
        <v>64351968</v>
      </c>
      <c r="D28" s="20" t="n">
        <v>20308170</v>
      </c>
      <c r="E28" s="21" t="n">
        <v>45696</v>
      </c>
      <c r="F28" s="22" t="inlineStr">
        <is>
          <t>Кызылжар</t>
        </is>
      </c>
      <c r="G28" s="23" t="inlineStr">
        <is>
          <t>Сырдарьинская</t>
        </is>
      </c>
      <c r="H28" s="24" t="inlineStr">
        <is>
          <t xml:space="preserve">УГОЛЬ Д     </t>
        </is>
      </c>
      <c r="I28" s="12" t="inlineStr">
        <is>
          <t>Транспортно-экспедиторское обслуживание</t>
        </is>
      </c>
      <c r="J28" s="27" t="n">
        <v>350000</v>
      </c>
      <c r="K28" s="17" t="inlineStr">
        <is>
          <t>Без НДС</t>
        </is>
      </c>
      <c r="L28" s="15" t="inlineStr">
        <is>
          <t>46</t>
        </is>
      </c>
      <c r="M28" s="14" t="n"/>
      <c r="N28" t="n">
        <v>46</v>
      </c>
    </row>
    <row r="29" ht="15" customHeight="1">
      <c r="A29" s="10" t="n">
        <v>28</v>
      </c>
      <c r="B29" s="7" t="inlineStr">
        <is>
          <t>Груж</t>
        </is>
      </c>
      <c r="C29" s="19" t="n">
        <v>61460861</v>
      </c>
      <c r="D29" s="20" t="inlineStr">
        <is>
          <t>ЭЛ898222</t>
        </is>
      </c>
      <c r="E29" s="21" t="n">
        <v>45697</v>
      </c>
      <c r="F29" s="22" t="inlineStr">
        <is>
          <t>Жем</t>
        </is>
      </c>
      <c r="G29" s="23" t="inlineStr">
        <is>
          <t>Баталы</t>
        </is>
      </c>
      <c r="H29" s="24" t="inlineStr">
        <is>
          <t>РУДЫ ДРАГМЕТ</t>
        </is>
      </c>
      <c r="I29" s="12" t="inlineStr">
        <is>
          <t>Транспортно-экспедиторское обслуживание</t>
        </is>
      </c>
      <c r="J29" s="27" t="n">
        <v>200000</v>
      </c>
      <c r="K29" s="17" t="inlineStr">
        <is>
          <t>12%</t>
        </is>
      </c>
      <c r="L29" s="15" t="n">
        <v>41</v>
      </c>
      <c r="M29" s="14" t="n"/>
      <c r="N29" t="n">
        <v>41</v>
      </c>
    </row>
    <row r="30" ht="15" customHeight="1">
      <c r="A30" s="10" t="n">
        <v>29</v>
      </c>
      <c r="B30" s="7" t="inlineStr">
        <is>
          <t>Груж</t>
        </is>
      </c>
      <c r="C30" s="19" t="n">
        <v>61996054</v>
      </c>
      <c r="D30" s="20" t="n">
        <v>20310550</v>
      </c>
      <c r="E30" s="21" t="n">
        <v>45697</v>
      </c>
      <c r="F30" s="22" t="inlineStr">
        <is>
          <t>Кызылжар</t>
        </is>
      </c>
      <c r="G30" s="23" t="inlineStr">
        <is>
          <t>Сырдарьинская</t>
        </is>
      </c>
      <c r="H30" s="24" t="inlineStr">
        <is>
          <t xml:space="preserve">УГОЛЬ Д     </t>
        </is>
      </c>
      <c r="I30" s="12" t="inlineStr">
        <is>
          <t>Транспортно-экспедиторское обслуживание</t>
        </is>
      </c>
      <c r="J30" s="27" t="n">
        <v>350000</v>
      </c>
      <c r="K30" s="17" t="inlineStr">
        <is>
          <t>Без НДС</t>
        </is>
      </c>
      <c r="L30" s="15" t="inlineStr">
        <is>
          <t>46</t>
        </is>
      </c>
      <c r="M30" s="14" t="n"/>
      <c r="N30" t="n">
        <v>46</v>
      </c>
    </row>
    <row r="31" ht="15" customHeight="1">
      <c r="A31" s="10" t="n">
        <v>30</v>
      </c>
      <c r="B31" s="7" t="inlineStr">
        <is>
          <t>Груж</t>
        </is>
      </c>
      <c r="C31" s="19" t="n">
        <v>61996344</v>
      </c>
      <c r="D31" s="20" t="inlineStr">
        <is>
          <t>ЭЛ898598</t>
        </is>
      </c>
      <c r="E31" s="21" t="n">
        <v>45697</v>
      </c>
      <c r="F31" s="22" t="inlineStr">
        <is>
          <t>Жомарт</t>
        </is>
      </c>
      <c r="G31" s="23" t="inlineStr">
        <is>
          <t>Риддер</t>
        </is>
      </c>
      <c r="H31" s="24" t="inlineStr">
        <is>
          <t>КОНЦЕНТР ЦИН</t>
        </is>
      </c>
      <c r="I31" s="12" t="inlineStr">
        <is>
          <t>Транспортно-экспедиторское обслуживание</t>
        </is>
      </c>
      <c r="J31" s="27" t="n">
        <v>300000</v>
      </c>
      <c r="K31" s="18" t="inlineStr">
        <is>
          <t>12%</t>
        </is>
      </c>
      <c r="L31" s="15" t="n">
        <v>39</v>
      </c>
      <c r="M31" s="14" t="n"/>
      <c r="N31" t="n">
        <v>39</v>
      </c>
    </row>
    <row r="32" ht="15" customHeight="1">
      <c r="A32" s="10" t="n">
        <v>31</v>
      </c>
      <c r="B32" s="7" t="inlineStr">
        <is>
          <t>Груж</t>
        </is>
      </c>
      <c r="C32" s="19" t="n">
        <v>60050838</v>
      </c>
      <c r="D32" s="20" t="inlineStr">
        <is>
          <t>ЭЛ901503</t>
        </is>
      </c>
      <c r="E32" s="21" t="n">
        <v>45698</v>
      </c>
      <c r="F32" s="22" t="inlineStr">
        <is>
          <t>Каерак</t>
        </is>
      </c>
      <c r="G32" s="23" t="inlineStr">
        <is>
          <t>Оскемен-1</t>
        </is>
      </c>
      <c r="H32" s="24" t="inlineStr">
        <is>
          <t>КВАРЦ КОНЦ К</t>
        </is>
      </c>
      <c r="I32" s="12" t="inlineStr">
        <is>
          <t>Транспортно-экспедиторское обслуживание</t>
        </is>
      </c>
      <c r="J32" s="27" t="n">
        <v>200000</v>
      </c>
      <c r="K32" s="17" t="inlineStr">
        <is>
          <t>12%</t>
        </is>
      </c>
      <c r="L32" s="15" t="n"/>
      <c r="M32" s="14" t="n"/>
      <c r="N32" t="n">
        <v>42</v>
      </c>
    </row>
    <row r="33" ht="15" customHeight="1">
      <c r="A33" s="10" t="n">
        <v>32</v>
      </c>
      <c r="B33" s="7" t="inlineStr">
        <is>
          <t>Груж</t>
        </is>
      </c>
      <c r="C33" s="19" t="n">
        <v>62199633</v>
      </c>
      <c r="D33" s="20" t="inlineStr">
        <is>
          <t>ЭЛ901503</t>
        </is>
      </c>
      <c r="E33" s="21" t="n">
        <v>45698</v>
      </c>
      <c r="F33" s="22" t="inlineStr">
        <is>
          <t>Каерак</t>
        </is>
      </c>
      <c r="G33" s="23" t="inlineStr">
        <is>
          <t>Оскемен-1</t>
        </is>
      </c>
      <c r="H33" s="24" t="inlineStr">
        <is>
          <t>КВАРЦ КОНЦ К</t>
        </is>
      </c>
      <c r="I33" s="12" t="inlineStr">
        <is>
          <t>Транспортно-экспедиторское обслуживание</t>
        </is>
      </c>
      <c r="J33" s="27" t="n">
        <v>200000</v>
      </c>
      <c r="K33" s="18" t="inlineStr">
        <is>
          <t>12%</t>
        </is>
      </c>
      <c r="L33" s="15" t="n"/>
      <c r="M33" s="14" t="n"/>
      <c r="N33" t="n">
        <v>42</v>
      </c>
    </row>
    <row r="34" ht="15" customHeight="1">
      <c r="A34" s="10" t="n">
        <v>33</v>
      </c>
      <c r="B34" s="7" t="inlineStr">
        <is>
          <t>Груж</t>
        </is>
      </c>
      <c r="C34" s="19" t="n">
        <v>62626270</v>
      </c>
      <c r="D34" s="20" t="n">
        <v>20312436</v>
      </c>
      <c r="E34" s="21" t="n">
        <v>45699</v>
      </c>
      <c r="F34" s="22" t="inlineStr">
        <is>
          <t>Костанай</t>
        </is>
      </c>
      <c r="G34" s="23" t="inlineStr">
        <is>
          <t>Худжанд</t>
        </is>
      </c>
      <c r="H34" s="24" t="inlineStr">
        <is>
          <t>ИЗД ЧЕРМЕТ П</t>
        </is>
      </c>
      <c r="I34" s="12" t="inlineStr">
        <is>
          <t>Транспортно-экспедиторское обслуживание</t>
        </is>
      </c>
      <c r="J34" s="27" t="n">
        <v>650000</v>
      </c>
      <c r="K34" s="18" t="inlineStr">
        <is>
          <t>Без НДС</t>
        </is>
      </c>
      <c r="L34" s="15" t="n">
        <v>36</v>
      </c>
      <c r="M34" s="14" t="n"/>
      <c r="N34" t="n">
        <v>36</v>
      </c>
    </row>
    <row r="35" ht="15" customHeight="1">
      <c r="A35" s="10" t="n">
        <v>34</v>
      </c>
      <c r="B35" s="7" t="inlineStr">
        <is>
          <t>Груж</t>
        </is>
      </c>
      <c r="C35" s="19" t="n">
        <v>61469227</v>
      </c>
      <c r="D35" s="20" t="inlineStr">
        <is>
          <t>ЭЛ904320</t>
        </is>
      </c>
      <c r="E35" s="21" t="n">
        <v>45699</v>
      </c>
      <c r="F35" s="22" t="inlineStr">
        <is>
          <t>Жем</t>
        </is>
      </c>
      <c r="G35" s="23" t="inlineStr">
        <is>
          <t>Баталы</t>
        </is>
      </c>
      <c r="H35" s="24" t="inlineStr">
        <is>
          <t>РУДЫ ДРАГМЕТ</t>
        </is>
      </c>
      <c r="I35" s="12" t="inlineStr">
        <is>
          <t>Транспортно-экспедиторское обслуживание</t>
        </is>
      </c>
      <c r="J35" s="27" t="n">
        <v>200000</v>
      </c>
      <c r="K35" s="18" t="inlineStr">
        <is>
          <t>12%</t>
        </is>
      </c>
      <c r="L35" s="15" t="n">
        <v>41</v>
      </c>
      <c r="M35" s="14" t="n"/>
      <c r="N35" t="n">
        <v>41</v>
      </c>
    </row>
    <row r="36" ht="15" customHeight="1">
      <c r="A36" s="10" t="n">
        <v>35</v>
      </c>
      <c r="B36" s="7" t="inlineStr">
        <is>
          <t>Груж</t>
        </is>
      </c>
      <c r="C36" s="19" t="n">
        <v>63700512</v>
      </c>
      <c r="D36" s="20" t="inlineStr">
        <is>
          <t>ЭЛ904320</t>
        </is>
      </c>
      <c r="E36" s="21" t="n">
        <v>45699</v>
      </c>
      <c r="F36" s="22" t="inlineStr">
        <is>
          <t>Жем</t>
        </is>
      </c>
      <c r="G36" s="23" t="inlineStr">
        <is>
          <t>Баталы</t>
        </is>
      </c>
      <c r="H36" s="24" t="inlineStr">
        <is>
          <t>РУДЫ ДРАГМЕТ</t>
        </is>
      </c>
      <c r="I36" s="12" t="inlineStr">
        <is>
          <t>Транспортно-экспедиторское обслуживание</t>
        </is>
      </c>
      <c r="J36" s="27" t="n">
        <v>200000</v>
      </c>
      <c r="K36" s="18" t="inlineStr">
        <is>
          <t>12%</t>
        </is>
      </c>
      <c r="L36" s="15" t="n">
        <v>41</v>
      </c>
      <c r="M36" s="14" t="n"/>
      <c r="N36" t="n">
        <v>41</v>
      </c>
    </row>
    <row r="37" ht="15" customHeight="1">
      <c r="A37" s="10" t="n">
        <v>36</v>
      </c>
      <c r="B37" s="7" t="inlineStr">
        <is>
          <t>Груж</t>
        </is>
      </c>
      <c r="C37" s="19" t="n">
        <v>60018728</v>
      </c>
      <c r="D37" s="20" t="inlineStr">
        <is>
          <t>ЭЛ904545</t>
        </is>
      </c>
      <c r="E37" s="21" t="n">
        <v>45699</v>
      </c>
      <c r="F37" s="22" t="inlineStr">
        <is>
          <t>Жем</t>
        </is>
      </c>
      <c r="G37" s="23" t="inlineStr">
        <is>
          <t>Баталы</t>
        </is>
      </c>
      <c r="H37" s="24" t="inlineStr">
        <is>
          <t>РУДЫ ДРАГМЕТ</t>
        </is>
      </c>
      <c r="I37" s="12" t="inlineStr">
        <is>
          <t>Транспортно-экспедиторское обслуживание</t>
        </is>
      </c>
      <c r="J37" s="27" t="n">
        <v>200000</v>
      </c>
      <c r="K37" s="17" t="inlineStr">
        <is>
          <t>12%</t>
        </is>
      </c>
      <c r="L37" s="15" t="n">
        <v>41</v>
      </c>
      <c r="M37" s="14" t="n"/>
      <c r="N37" t="n">
        <v>41</v>
      </c>
    </row>
    <row r="38" ht="15" customHeight="1">
      <c r="A38" s="10" t="n">
        <v>37</v>
      </c>
      <c r="B38" s="7" t="inlineStr">
        <is>
          <t>Груж</t>
        </is>
      </c>
      <c r="C38" s="19" t="n">
        <v>62517065</v>
      </c>
      <c r="D38" s="20" t="n">
        <v>20320776</v>
      </c>
      <c r="E38" s="21" t="n">
        <v>45700</v>
      </c>
      <c r="F38" s="22" t="inlineStr">
        <is>
          <t>Ушкулын</t>
        </is>
      </c>
      <c r="G38" s="23" t="inlineStr">
        <is>
          <t>Ангрен</t>
        </is>
      </c>
      <c r="H38" s="24" t="inlineStr">
        <is>
          <t>УГ БУР НЕПОД</t>
        </is>
      </c>
      <c r="I38" s="12" t="inlineStr">
        <is>
          <t>Транспортно-экспедиторское обслуживание</t>
        </is>
      </c>
      <c r="J38" s="27" t="n">
        <v>310000</v>
      </c>
      <c r="K38" s="17" t="inlineStr">
        <is>
          <t>Без НДС</t>
        </is>
      </c>
      <c r="L38" s="15" t="n"/>
      <c r="M38" s="14" t="n"/>
      <c r="N38" t="n">
        <v>77</v>
      </c>
    </row>
    <row r="39" ht="15" customHeight="1">
      <c r="A39" s="10" t="n">
        <v>38</v>
      </c>
      <c r="B39" s="7" t="inlineStr">
        <is>
          <t>Груж</t>
        </is>
      </c>
      <c r="C39" s="19" t="n">
        <v>61993614</v>
      </c>
      <c r="D39" s="20" t="n">
        <v>20320776</v>
      </c>
      <c r="E39" s="21" t="n">
        <v>45700</v>
      </c>
      <c r="F39" s="22" t="inlineStr">
        <is>
          <t>Ушкулын</t>
        </is>
      </c>
      <c r="G39" s="23" t="inlineStr">
        <is>
          <t>Ангрен</t>
        </is>
      </c>
      <c r="H39" s="24" t="inlineStr">
        <is>
          <t>УГ БУР НЕПОД</t>
        </is>
      </c>
      <c r="I39" s="12" t="inlineStr">
        <is>
          <t>Транспортно-экспедиторское обслуживание</t>
        </is>
      </c>
      <c r="J39" s="27" t="n">
        <v>310000</v>
      </c>
      <c r="K39" s="17" t="inlineStr">
        <is>
          <t>Без НДС</t>
        </is>
      </c>
      <c r="L39" s="15" t="n"/>
      <c r="M39" s="14" t="n"/>
      <c r="N39" t="n">
        <v>77</v>
      </c>
    </row>
    <row r="40" ht="15" customHeight="1">
      <c r="A40" s="10" t="n">
        <v>39</v>
      </c>
      <c r="B40" s="7" t="inlineStr">
        <is>
          <t>Груж</t>
        </is>
      </c>
      <c r="C40" s="19" t="n">
        <v>62626114</v>
      </c>
      <c r="D40" s="20" t="n">
        <v>20320776</v>
      </c>
      <c r="E40" s="21" t="n">
        <v>45700</v>
      </c>
      <c r="F40" s="22" t="inlineStr">
        <is>
          <t>Ушкулын</t>
        </is>
      </c>
      <c r="G40" s="23" t="inlineStr">
        <is>
          <t>Ангрен</t>
        </is>
      </c>
      <c r="H40" s="24" t="inlineStr">
        <is>
          <t>УГ БУР НЕПОД</t>
        </is>
      </c>
      <c r="I40" s="12" t="inlineStr">
        <is>
          <t>Транспортно-экспедиторское обслуживание</t>
        </is>
      </c>
      <c r="J40" s="27" t="n">
        <v>310000</v>
      </c>
      <c r="K40" s="17" t="inlineStr">
        <is>
          <t>Без НДС</t>
        </is>
      </c>
      <c r="L40" s="13" t="n"/>
      <c r="M40" s="14" t="n"/>
      <c r="N40" t="n">
        <v>77</v>
      </c>
    </row>
    <row r="41" ht="15" customHeight="1">
      <c r="A41" s="10" t="n">
        <v>40</v>
      </c>
      <c r="B41" s="7" t="inlineStr">
        <is>
          <t>Груж</t>
        </is>
      </c>
      <c r="C41" s="19" t="n">
        <v>60016516</v>
      </c>
      <c r="D41" s="20" t="n">
        <v>20320776</v>
      </c>
      <c r="E41" s="21" t="n">
        <v>45700</v>
      </c>
      <c r="F41" s="22" t="inlineStr">
        <is>
          <t>Ушкулын</t>
        </is>
      </c>
      <c r="G41" s="23" t="inlineStr">
        <is>
          <t>Ангрен</t>
        </is>
      </c>
      <c r="H41" s="24" t="inlineStr">
        <is>
          <t>УГ БУР НЕПОД</t>
        </is>
      </c>
      <c r="I41" s="12" t="inlineStr">
        <is>
          <t>Транспортно-экспедиторское обслуживание</t>
        </is>
      </c>
      <c r="J41" s="27" t="n">
        <v>310000</v>
      </c>
      <c r="K41" s="17" t="inlineStr">
        <is>
          <t>Без НДС</t>
        </is>
      </c>
      <c r="L41" s="13" t="n"/>
      <c r="M41" s="14" t="n"/>
      <c r="N41" t="n">
        <v>77</v>
      </c>
    </row>
    <row r="42" ht="15" customHeight="1">
      <c r="A42" s="10" t="n">
        <v>41</v>
      </c>
      <c r="B42" s="7" t="inlineStr">
        <is>
          <t>Груж</t>
        </is>
      </c>
      <c r="C42" s="19" t="n">
        <v>64352149</v>
      </c>
      <c r="D42" s="20" t="n">
        <v>20320776</v>
      </c>
      <c r="E42" s="21" t="n">
        <v>45700</v>
      </c>
      <c r="F42" s="22" t="inlineStr">
        <is>
          <t>Ушкулын</t>
        </is>
      </c>
      <c r="G42" s="23" t="inlineStr">
        <is>
          <t>Ангрен</t>
        </is>
      </c>
      <c r="H42" s="24" t="inlineStr">
        <is>
          <t>УГ БУР НЕПОД</t>
        </is>
      </c>
      <c r="I42" s="12" t="inlineStr">
        <is>
          <t>Транспортно-экспедиторское обслуживание</t>
        </is>
      </c>
      <c r="J42" s="27" t="n">
        <v>310000</v>
      </c>
      <c r="K42" s="18" t="inlineStr">
        <is>
          <t>Без НДС</t>
        </is>
      </c>
      <c r="L42" s="13" t="n"/>
      <c r="M42" s="14" t="n"/>
      <c r="N42" t="n">
        <v>77</v>
      </c>
    </row>
    <row r="43" ht="15" customHeight="1">
      <c r="A43" s="10" t="n">
        <v>42</v>
      </c>
      <c r="B43" s="7" t="inlineStr">
        <is>
          <t>Груж</t>
        </is>
      </c>
      <c r="C43" s="19" t="n">
        <v>62351143</v>
      </c>
      <c r="D43" s="20" t="n">
        <v>20320777</v>
      </c>
      <c r="E43" s="21" t="n">
        <v>45700</v>
      </c>
      <c r="F43" s="22" t="inlineStr">
        <is>
          <t>Ушкулын</t>
        </is>
      </c>
      <c r="G43" s="23" t="inlineStr">
        <is>
          <t>Ангрен</t>
        </is>
      </c>
      <c r="H43" s="24" t="inlineStr">
        <is>
          <t>УГ БУР НЕПОД</t>
        </is>
      </c>
      <c r="I43" s="12" t="inlineStr">
        <is>
          <t>Транспортно-экспедиторское обслуживание</t>
        </is>
      </c>
      <c r="J43" s="27" t="n">
        <v>310000</v>
      </c>
      <c r="K43" s="18" t="inlineStr">
        <is>
          <t>Без НДС</t>
        </is>
      </c>
      <c r="L43" s="13" t="n"/>
      <c r="M43" s="14" t="n"/>
      <c r="N43" t="n">
        <v>77</v>
      </c>
    </row>
    <row r="44" ht="15" customHeight="1">
      <c r="A44" s="10" t="n">
        <v>43</v>
      </c>
      <c r="B44" s="7" t="inlineStr">
        <is>
          <t>Груж</t>
        </is>
      </c>
      <c r="C44" s="19" t="n">
        <v>62625579</v>
      </c>
      <c r="D44" s="20" t="n">
        <v>20320777</v>
      </c>
      <c r="E44" s="21" t="n">
        <v>45700</v>
      </c>
      <c r="F44" s="22" t="inlineStr">
        <is>
          <t>Ушкулын</t>
        </is>
      </c>
      <c r="G44" s="23" t="inlineStr">
        <is>
          <t>Ангрен</t>
        </is>
      </c>
      <c r="H44" s="24" t="inlineStr">
        <is>
          <t>УГ БУР НЕПОД</t>
        </is>
      </c>
      <c r="I44" s="12" t="inlineStr">
        <is>
          <t>Транспортно-экспедиторское обслуживание</t>
        </is>
      </c>
      <c r="J44" s="27" t="n">
        <v>310000</v>
      </c>
      <c r="K44" s="17" t="inlineStr">
        <is>
          <t>Без НДС</t>
        </is>
      </c>
      <c r="L44" s="15" t="n"/>
      <c r="M44" s="14" t="n"/>
      <c r="N44" t="n">
        <v>77</v>
      </c>
    </row>
    <row r="45" ht="15" customHeight="1">
      <c r="A45" s="10" t="n">
        <v>44</v>
      </c>
      <c r="B45" s="7" t="inlineStr">
        <is>
          <t>Груж</t>
        </is>
      </c>
      <c r="C45" s="19" t="n">
        <v>64351976</v>
      </c>
      <c r="D45" s="20" t="inlineStr">
        <is>
          <t>ЭЛ915588</t>
        </is>
      </c>
      <c r="E45" s="21" t="n">
        <v>45701</v>
      </c>
      <c r="F45" s="22" t="inlineStr">
        <is>
          <t>Костанай</t>
        </is>
      </c>
      <c r="G45" s="23" t="inlineStr">
        <is>
          <t>Коргасын</t>
        </is>
      </c>
      <c r="H45" s="24" t="inlineStr">
        <is>
          <t>ИЗД ЧЕРМЕТ П</t>
        </is>
      </c>
      <c r="I45" s="12" t="inlineStr">
        <is>
          <t>Транспортно-экспедиторское обслуживание</t>
        </is>
      </c>
      <c r="J45" s="27" t="n">
        <v>200000</v>
      </c>
      <c r="K45" s="17" t="inlineStr">
        <is>
          <t>12%</t>
        </is>
      </c>
      <c r="L45" s="15" t="n">
        <v>35</v>
      </c>
      <c r="M45" s="14" t="n"/>
      <c r="N45" t="n">
        <v>35</v>
      </c>
    </row>
    <row r="46" ht="15" customHeight="1">
      <c r="A46" s="10" t="n">
        <v>45</v>
      </c>
      <c r="B46" s="7" t="inlineStr">
        <is>
          <t>Груж</t>
        </is>
      </c>
      <c r="C46" s="19" t="n">
        <v>61996823</v>
      </c>
      <c r="D46" s="20" t="inlineStr">
        <is>
          <t>ЭЛ917572</t>
        </is>
      </c>
      <c r="E46" s="21" t="n">
        <v>45702</v>
      </c>
      <c r="F46" s="22" t="inlineStr">
        <is>
          <t>Жем</t>
        </is>
      </c>
      <c r="G46" s="23" t="inlineStr">
        <is>
          <t>Баталы</t>
        </is>
      </c>
      <c r="H46" s="24" t="inlineStr">
        <is>
          <t>РУДЫ ДРАГМЕТ</t>
        </is>
      </c>
      <c r="I46" s="12" t="inlineStr">
        <is>
          <t>Транспортно-экспедиторское обслуживание</t>
        </is>
      </c>
      <c r="J46" s="27" t="n">
        <v>200000</v>
      </c>
      <c r="K46" s="17" t="inlineStr">
        <is>
          <t>12%</t>
        </is>
      </c>
      <c r="L46" s="15" t="n">
        <v>41</v>
      </c>
      <c r="M46" s="14" t="n"/>
      <c r="N46" t="n">
        <v>41</v>
      </c>
    </row>
    <row r="47" ht="15" customHeight="1">
      <c r="A47" s="10" t="n">
        <v>46</v>
      </c>
      <c r="B47" s="7" t="inlineStr">
        <is>
          <t>Груж</t>
        </is>
      </c>
      <c r="C47" s="19" t="n">
        <v>62160254</v>
      </c>
      <c r="D47" s="20" t="n">
        <v>20324020</v>
      </c>
      <c r="E47" s="21" t="n">
        <v>45702</v>
      </c>
      <c r="F47" s="22" t="inlineStr">
        <is>
          <t>Кызылжар</t>
        </is>
      </c>
      <c r="G47" s="23" t="inlineStr">
        <is>
          <t>Пайтуг</t>
        </is>
      </c>
      <c r="H47" s="24" t="inlineStr">
        <is>
          <t xml:space="preserve">УГОЛЬ Д     </t>
        </is>
      </c>
      <c r="I47" s="12" t="inlineStr">
        <is>
          <t>Транспортно-экспедиторское обслуживание</t>
        </is>
      </c>
      <c r="J47" s="27" t="n">
        <v>108000</v>
      </c>
      <c r="K47" s="17" t="inlineStr">
        <is>
          <t>Без НДС</t>
        </is>
      </c>
      <c r="L47" s="15" t="inlineStr">
        <is>
          <t>76</t>
        </is>
      </c>
      <c r="M47" s="14" t="n"/>
      <c r="N47" t="n">
        <v>76</v>
      </c>
    </row>
    <row r="48" ht="15" customHeight="1">
      <c r="A48" s="10" t="n">
        <v>47</v>
      </c>
      <c r="B48" s="7" t="inlineStr">
        <is>
          <t>Груж</t>
        </is>
      </c>
      <c r="C48" s="19" t="n">
        <v>62351101</v>
      </c>
      <c r="D48" s="20" t="n">
        <v>20324020</v>
      </c>
      <c r="E48" s="21" t="n">
        <v>45702</v>
      </c>
      <c r="F48" s="22" t="inlineStr">
        <is>
          <t>Кызылжар</t>
        </is>
      </c>
      <c r="G48" s="23" t="inlineStr">
        <is>
          <t>Пайтуг</t>
        </is>
      </c>
      <c r="H48" s="24" t="inlineStr">
        <is>
          <t xml:space="preserve">УГОЛЬ Д     </t>
        </is>
      </c>
      <c r="I48" s="12" t="inlineStr">
        <is>
          <t>Транспортно-экспедиторское обслуживание</t>
        </is>
      </c>
      <c r="J48" s="27" t="n">
        <v>108000</v>
      </c>
      <c r="K48" s="17" t="inlineStr">
        <is>
          <t>Без НДС</t>
        </is>
      </c>
      <c r="L48" s="15" t="inlineStr">
        <is>
          <t>76</t>
        </is>
      </c>
      <c r="M48" s="14" t="n"/>
      <c r="N48" t="n">
        <v>76</v>
      </c>
    </row>
    <row r="49" ht="15" customHeight="1">
      <c r="A49" s="10" t="n">
        <v>48</v>
      </c>
      <c r="B49" s="7" t="inlineStr">
        <is>
          <t>Груж</t>
        </is>
      </c>
      <c r="C49" s="19" t="n">
        <v>62625173</v>
      </c>
      <c r="D49" s="20" t="inlineStr">
        <is>
          <t>ЭЛ922729</t>
        </is>
      </c>
      <c r="E49" s="21" t="n">
        <v>45703</v>
      </c>
      <c r="F49" s="22" t="inlineStr">
        <is>
          <t>Жем</t>
        </is>
      </c>
      <c r="G49" s="23" t="inlineStr">
        <is>
          <t>Баталы</t>
        </is>
      </c>
      <c r="H49" s="24" t="inlineStr">
        <is>
          <t>РУДЫ ДРАГМЕТ</t>
        </is>
      </c>
      <c r="I49" s="12" t="inlineStr">
        <is>
          <t>Транспортно-экспедиторское обслуживание</t>
        </is>
      </c>
      <c r="J49" s="27" t="n">
        <v>200000</v>
      </c>
      <c r="K49" s="17" t="inlineStr">
        <is>
          <t>12%</t>
        </is>
      </c>
      <c r="L49" s="15" t="n">
        <v>41</v>
      </c>
      <c r="M49" s="14" t="n"/>
      <c r="N49" t="n">
        <v>41</v>
      </c>
    </row>
    <row r="50" ht="15" customHeight="1">
      <c r="A50" s="10" t="n">
        <v>49</v>
      </c>
      <c r="B50" s="7" t="inlineStr">
        <is>
          <t>Груж</t>
        </is>
      </c>
      <c r="C50" s="19" t="n">
        <v>62365648</v>
      </c>
      <c r="D50" s="20" t="inlineStr">
        <is>
          <t>ЭЛ923852</t>
        </is>
      </c>
      <c r="E50" s="21" t="n">
        <v>45704</v>
      </c>
      <c r="F50" s="22" t="inlineStr">
        <is>
          <t>Жем</t>
        </is>
      </c>
      <c r="G50" s="23" t="inlineStr">
        <is>
          <t>Баталы</t>
        </is>
      </c>
      <c r="H50" s="24" t="inlineStr">
        <is>
          <t>РУДЫ ДРАГМЕТ</t>
        </is>
      </c>
      <c r="I50" s="12" t="inlineStr">
        <is>
          <t>Транспортно-экспедиторское обслуживание</t>
        </is>
      </c>
      <c r="J50" s="27" t="n">
        <v>200000</v>
      </c>
      <c r="K50" s="17" t="inlineStr">
        <is>
          <t>12%</t>
        </is>
      </c>
      <c r="L50" s="15" t="n">
        <v>41</v>
      </c>
      <c r="M50" s="14" t="n"/>
      <c r="N50" t="n">
        <v>41</v>
      </c>
    </row>
    <row r="51" ht="15" customHeight="1">
      <c r="A51" s="10" t="n">
        <v>50</v>
      </c>
      <c r="B51" s="7" t="inlineStr">
        <is>
          <t>Груж</t>
        </is>
      </c>
      <c r="C51" s="19" t="n">
        <v>62139506</v>
      </c>
      <c r="D51" s="20" t="inlineStr">
        <is>
          <t>ЭЛ925156</t>
        </is>
      </c>
      <c r="E51" s="21" t="n">
        <v>45704</v>
      </c>
      <c r="F51" s="22" t="inlineStr">
        <is>
          <t>Жем</t>
        </is>
      </c>
      <c r="G51" s="23" t="inlineStr">
        <is>
          <t>Баталы</t>
        </is>
      </c>
      <c r="H51" s="24" t="inlineStr">
        <is>
          <t>РУДЫ ДРАГМЕТ</t>
        </is>
      </c>
      <c r="I51" s="12" t="inlineStr">
        <is>
          <t>Транспортно-экспедиторское обслуживание</t>
        </is>
      </c>
      <c r="J51" s="27" t="n">
        <v>200000</v>
      </c>
      <c r="K51" s="17" t="inlineStr">
        <is>
          <t>12%</t>
        </is>
      </c>
      <c r="L51" s="15" t="n">
        <v>41</v>
      </c>
      <c r="M51" s="14" t="n"/>
      <c r="N51" t="n">
        <v>41</v>
      </c>
    </row>
    <row r="52" ht="15" customHeight="1">
      <c r="A52" s="10" t="n">
        <v>51</v>
      </c>
      <c r="B52" s="7" t="inlineStr">
        <is>
          <t>Груж</t>
        </is>
      </c>
      <c r="C52" s="19" t="n">
        <v>65578577</v>
      </c>
      <c r="D52" s="20" t="inlineStr">
        <is>
          <t>ЭЛ925726</t>
        </is>
      </c>
      <c r="E52" s="21" t="n">
        <v>45704</v>
      </c>
      <c r="F52" s="22" t="inlineStr">
        <is>
          <t>Костанай</t>
        </is>
      </c>
      <c r="G52" s="23" t="inlineStr">
        <is>
          <t>Астана-1</t>
        </is>
      </c>
      <c r="H52" s="24" t="inlineStr">
        <is>
          <t>ИЗД ЧЕРМЕТ П</t>
        </is>
      </c>
      <c r="I52" s="12" t="inlineStr">
        <is>
          <t>Транспортно-экспедиторское обслуживание</t>
        </is>
      </c>
      <c r="J52" s="27" t="n">
        <v>110000</v>
      </c>
      <c r="K52" s="17" t="inlineStr">
        <is>
          <t>12%</t>
        </is>
      </c>
      <c r="L52" s="15" t="n">
        <v>35</v>
      </c>
      <c r="M52" s="14" t="n"/>
      <c r="N52" t="n">
        <v>35</v>
      </c>
    </row>
    <row r="53" ht="15" customHeight="1">
      <c r="A53" s="10" t="n">
        <v>52</v>
      </c>
      <c r="B53" s="7" t="inlineStr">
        <is>
          <t>Груж</t>
        </is>
      </c>
      <c r="C53" s="19" t="n">
        <v>64227838</v>
      </c>
      <c r="D53" s="20" t="inlineStr">
        <is>
          <t>ЭЛ925726</t>
        </is>
      </c>
      <c r="E53" s="21" t="n">
        <v>45704</v>
      </c>
      <c r="F53" s="22" t="inlineStr">
        <is>
          <t>Костанай</t>
        </is>
      </c>
      <c r="G53" s="23" t="inlineStr">
        <is>
          <t>Астана-1</t>
        </is>
      </c>
      <c r="H53" s="24" t="inlineStr">
        <is>
          <t>ИЗД ЧЕРМЕТ П</t>
        </is>
      </c>
      <c r="I53" s="12" t="inlineStr">
        <is>
          <t>Транспортно-экспедиторское обслуживание</t>
        </is>
      </c>
      <c r="J53" s="27" t="n">
        <v>110000</v>
      </c>
      <c r="K53" s="17" t="inlineStr">
        <is>
          <t>12%</t>
        </is>
      </c>
      <c r="L53" s="15" t="n">
        <v>35</v>
      </c>
      <c r="M53" s="14" t="n"/>
      <c r="N53" t="n">
        <v>35</v>
      </c>
    </row>
    <row r="54" ht="15" customHeight="1">
      <c r="A54" s="10" t="n">
        <v>53</v>
      </c>
      <c r="B54" s="7" t="inlineStr">
        <is>
          <t>Груж</t>
        </is>
      </c>
      <c r="C54" s="19" t="n">
        <v>60690112</v>
      </c>
      <c r="D54" s="20" t="inlineStr">
        <is>
          <t>ЭЛ930130</t>
        </is>
      </c>
      <c r="E54" s="21" t="n">
        <v>45705</v>
      </c>
      <c r="F54" s="22" t="inlineStr">
        <is>
          <t>Костанай</t>
        </is>
      </c>
      <c r="G54" s="23" t="inlineStr">
        <is>
          <t>Астана-1</t>
        </is>
      </c>
      <c r="H54" s="24" t="inlineStr">
        <is>
          <t>ИЗД ЧЕРМЕТ П</t>
        </is>
      </c>
      <c r="I54" s="12" t="inlineStr">
        <is>
          <t>Транспортно-экспедиторское обслуживание</t>
        </is>
      </c>
      <c r="J54" s="27" t="n">
        <v>110000</v>
      </c>
      <c r="K54" s="17" t="inlineStr">
        <is>
          <t>12%</t>
        </is>
      </c>
      <c r="L54" s="15" t="n">
        <v>35</v>
      </c>
      <c r="M54" s="14" t="n"/>
      <c r="N54" t="n">
        <v>35</v>
      </c>
    </row>
    <row r="55" ht="15" customHeight="1">
      <c r="A55" s="10" t="n">
        <v>54</v>
      </c>
      <c r="B55" s="7" t="inlineStr">
        <is>
          <t>Груж</t>
        </is>
      </c>
      <c r="C55" s="19" t="n">
        <v>60022563</v>
      </c>
      <c r="D55" s="20" t="inlineStr">
        <is>
          <t>ЭЛ930284</t>
        </is>
      </c>
      <c r="E55" s="21" t="n">
        <v>45705</v>
      </c>
      <c r="F55" s="22" t="inlineStr">
        <is>
          <t>Жем</t>
        </is>
      </c>
      <c r="G55" s="23" t="inlineStr">
        <is>
          <t>Баталы</t>
        </is>
      </c>
      <c r="H55" s="24" t="inlineStr">
        <is>
          <t>РУДЫ ДРАГМЕТ</t>
        </is>
      </c>
      <c r="I55" s="12" t="inlineStr">
        <is>
          <t>Транспортно-экспедиторское обслуживание</t>
        </is>
      </c>
      <c r="J55" s="27" t="n">
        <v>200000</v>
      </c>
      <c r="K55" s="17" t="inlineStr">
        <is>
          <t>12%</t>
        </is>
      </c>
      <c r="L55" s="15" t="n">
        <v>41</v>
      </c>
      <c r="M55" s="14" t="n"/>
      <c r="N55" t="n">
        <v>41</v>
      </c>
    </row>
    <row r="56" ht="15" customHeight="1">
      <c r="A56" s="10" t="n">
        <v>55</v>
      </c>
      <c r="B56" s="7" t="inlineStr">
        <is>
          <t>Груж</t>
        </is>
      </c>
      <c r="C56" s="19" t="n">
        <v>60009800</v>
      </c>
      <c r="D56" s="20" t="n">
        <v>20333306</v>
      </c>
      <c r="E56" s="21" t="n">
        <v>45706</v>
      </c>
      <c r="F56" s="22" t="inlineStr">
        <is>
          <t>Жомарт</t>
        </is>
      </c>
      <c r="G56" s="23" t="inlineStr">
        <is>
          <t>Достык (эксп.)</t>
        </is>
      </c>
      <c r="H56" s="24" t="inlineStr">
        <is>
          <t>КОНЦЕНТР СВИ</t>
        </is>
      </c>
      <c r="I56" s="12" t="inlineStr">
        <is>
          <t>Транспортно-экспедиторское обслуживание</t>
        </is>
      </c>
      <c r="J56" s="27" t="n">
        <v>300000</v>
      </c>
      <c r="K56" s="17" t="inlineStr">
        <is>
          <t>Без НДС</t>
        </is>
      </c>
      <c r="L56" s="15" t="n">
        <v>40</v>
      </c>
      <c r="M56" s="14" t="n"/>
      <c r="N56" t="n">
        <v>40</v>
      </c>
    </row>
    <row r="57" ht="15" customHeight="1">
      <c r="A57" s="10" t="n">
        <v>56</v>
      </c>
      <c r="B57" s="7" t="inlineStr">
        <is>
          <t>Груж</t>
        </is>
      </c>
      <c r="C57" s="19" t="n">
        <v>62192000</v>
      </c>
      <c r="D57" s="20" t="inlineStr">
        <is>
          <t>ЭЛ934683</t>
        </is>
      </c>
      <c r="E57" s="21" t="n">
        <v>45707</v>
      </c>
      <c r="F57" s="22" t="inlineStr">
        <is>
          <t>Жем</t>
        </is>
      </c>
      <c r="G57" s="23" t="inlineStr">
        <is>
          <t>Баталы</t>
        </is>
      </c>
      <c r="H57" s="24" t="inlineStr">
        <is>
          <t>РУДЫ ДРАГМЕТ</t>
        </is>
      </c>
      <c r="I57" s="12" t="inlineStr">
        <is>
          <t>Транспортно-экспедиторское обслуживание</t>
        </is>
      </c>
      <c r="J57" s="27" t="n">
        <v>200000</v>
      </c>
      <c r="K57" s="17" t="inlineStr">
        <is>
          <t>12%</t>
        </is>
      </c>
      <c r="L57" s="15" t="n">
        <v>41</v>
      </c>
      <c r="M57" s="14" t="n"/>
      <c r="N57" t="n">
        <v>41</v>
      </c>
    </row>
    <row r="58" ht="15" customHeight="1">
      <c r="A58" s="10" t="n">
        <v>57</v>
      </c>
      <c r="B58" s="7" t="inlineStr">
        <is>
          <t>Груж</t>
        </is>
      </c>
      <c r="C58" s="19" t="n">
        <v>62363551</v>
      </c>
      <c r="D58" s="20" t="inlineStr">
        <is>
          <t>ЭЛ934683</t>
        </is>
      </c>
      <c r="E58" s="21" t="n">
        <v>45707</v>
      </c>
      <c r="F58" s="22" t="inlineStr">
        <is>
          <t>Жем</t>
        </is>
      </c>
      <c r="G58" s="23" t="inlineStr">
        <is>
          <t>Баталы</t>
        </is>
      </c>
      <c r="H58" s="24" t="inlineStr">
        <is>
          <t>РУДЫ ДРАГМЕТ</t>
        </is>
      </c>
      <c r="I58" s="12" t="inlineStr">
        <is>
          <t>Транспортно-экспедиторское обслуживание</t>
        </is>
      </c>
      <c r="J58" s="27" t="n">
        <v>200000</v>
      </c>
      <c r="K58" s="17" t="inlineStr">
        <is>
          <t>12%</t>
        </is>
      </c>
      <c r="L58" s="15" t="n">
        <v>41</v>
      </c>
      <c r="M58" s="14" t="n"/>
      <c r="N58" t="n">
        <v>41</v>
      </c>
    </row>
    <row r="59" ht="15" customHeight="1">
      <c r="A59" s="10" t="n">
        <v>58</v>
      </c>
      <c r="B59" s="7" t="inlineStr">
        <is>
          <t>Груж</t>
        </is>
      </c>
      <c r="C59" s="19" t="n">
        <v>60639085</v>
      </c>
      <c r="D59" s="20" t="n">
        <v>20335265</v>
      </c>
      <c r="E59" s="21" t="n">
        <v>45707</v>
      </c>
      <c r="F59" s="22" t="inlineStr">
        <is>
          <t>Кызылжар</t>
        </is>
      </c>
      <c r="G59" s="23" t="inlineStr">
        <is>
          <t>Ангрен</t>
        </is>
      </c>
      <c r="H59" s="24" t="inlineStr">
        <is>
          <t xml:space="preserve">УГОЛЬ Д     </t>
        </is>
      </c>
      <c r="I59" s="12" t="inlineStr">
        <is>
          <t>Транспортно-экспедиторское обслуживание</t>
        </is>
      </c>
      <c r="J59" s="27" t="n">
        <v>328000</v>
      </c>
      <c r="K59" s="18" t="inlineStr">
        <is>
          <t>Без НДС</t>
        </is>
      </c>
      <c r="L59" s="13" t="n">
        <v>47</v>
      </c>
      <c r="M59" s="14" t="n"/>
      <c r="N59" t="n">
        <v>47</v>
      </c>
    </row>
    <row r="60" ht="15" customHeight="1">
      <c r="A60" s="10" t="n">
        <v>59</v>
      </c>
      <c r="B60" s="7" t="inlineStr">
        <is>
          <t>Груж</t>
        </is>
      </c>
      <c r="C60" s="19" t="n">
        <v>60518776</v>
      </c>
      <c r="D60" s="20" t="n">
        <v>20335265</v>
      </c>
      <c r="E60" s="21" t="n">
        <v>45707</v>
      </c>
      <c r="F60" s="22" t="inlineStr">
        <is>
          <t>Кызылжар</t>
        </is>
      </c>
      <c r="G60" s="23" t="inlineStr">
        <is>
          <t>Ангрен</t>
        </is>
      </c>
      <c r="H60" s="24" t="inlineStr">
        <is>
          <t xml:space="preserve">УГОЛЬ Д     </t>
        </is>
      </c>
      <c r="I60" s="12" t="inlineStr">
        <is>
          <t>Транспортно-экспедиторское обслуживание</t>
        </is>
      </c>
      <c r="J60" s="27" t="n">
        <v>328000</v>
      </c>
      <c r="K60" s="18" t="inlineStr">
        <is>
          <t>Без НДС</t>
        </is>
      </c>
      <c r="L60" s="13" t="n">
        <v>47</v>
      </c>
      <c r="M60" s="14" t="n"/>
      <c r="N60" t="n">
        <v>47</v>
      </c>
    </row>
    <row r="61" ht="15" customHeight="1">
      <c r="A61" s="10" t="n">
        <v>60</v>
      </c>
      <c r="B61" s="7" t="inlineStr">
        <is>
          <t>Груж</t>
        </is>
      </c>
      <c r="C61" s="19" t="n">
        <v>62351408</v>
      </c>
      <c r="D61" s="20" t="n">
        <v>20334725</v>
      </c>
      <c r="E61" s="21" t="n">
        <v>45707</v>
      </c>
      <c r="F61" s="22" t="inlineStr">
        <is>
          <t>Шубарколь</t>
        </is>
      </c>
      <c r="G61" s="23" t="inlineStr">
        <is>
          <t>Навои</t>
        </is>
      </c>
      <c r="H61" s="24" t="inlineStr">
        <is>
          <t xml:space="preserve">УГОЛЬ Д     </t>
        </is>
      </c>
      <c r="I61" s="12" t="inlineStr">
        <is>
          <t>Транспортно-экспедиторское обслуживание</t>
        </is>
      </c>
      <c r="J61" s="27" t="n">
        <v>448000</v>
      </c>
      <c r="K61" s="18" t="inlineStr">
        <is>
          <t>Без НДС</t>
        </is>
      </c>
      <c r="L61" s="13" t="n"/>
      <c r="M61" s="14" t="n"/>
      <c r="N61" t="n">
        <v>79</v>
      </c>
    </row>
    <row r="62" ht="15" customHeight="1">
      <c r="A62" s="10" t="n">
        <v>61</v>
      </c>
      <c r="B62" s="7" t="inlineStr">
        <is>
          <t>Груж</t>
        </is>
      </c>
      <c r="C62" s="19" t="n">
        <v>62516968</v>
      </c>
      <c r="D62" s="20" t="inlineStr">
        <is>
          <t>ЭЛ938016</t>
        </is>
      </c>
      <c r="E62" s="21" t="n">
        <v>45707</v>
      </c>
      <c r="F62" s="22" t="inlineStr">
        <is>
          <t>Кызылжар</t>
        </is>
      </c>
      <c r="G62" s="23" t="inlineStr">
        <is>
          <t>Оскемен-1</t>
        </is>
      </c>
      <c r="H62" s="24" t="inlineStr">
        <is>
          <t xml:space="preserve">УГОЛЬ Д     </t>
        </is>
      </c>
      <c r="I62" s="12" t="inlineStr">
        <is>
          <t>Транспортно-экспедиторское обслуживание</t>
        </is>
      </c>
      <c r="J62" s="27" t="n">
        <v>300000</v>
      </c>
      <c r="K62" s="17" t="inlineStr">
        <is>
          <t>12%</t>
        </is>
      </c>
      <c r="L62" s="15" t="n"/>
      <c r="M62" s="14" t="n"/>
      <c r="N62" t="n">
        <v>74</v>
      </c>
    </row>
    <row r="63" ht="15" customHeight="1">
      <c r="A63" s="10" t="n">
        <v>62</v>
      </c>
      <c r="B63" s="7" t="inlineStr">
        <is>
          <t>Груж</t>
        </is>
      </c>
      <c r="C63" s="19" t="n">
        <v>60038239</v>
      </c>
      <c r="D63" s="20" t="inlineStr">
        <is>
          <t>ЭЛ938016</t>
        </is>
      </c>
      <c r="E63" s="21" t="n">
        <v>45707</v>
      </c>
      <c r="F63" s="22" t="inlineStr">
        <is>
          <t>Кызылжар</t>
        </is>
      </c>
      <c r="G63" s="23" t="inlineStr">
        <is>
          <t>Оскемен-1</t>
        </is>
      </c>
      <c r="H63" s="24" t="inlineStr">
        <is>
          <t xml:space="preserve">УГОЛЬ Д     </t>
        </is>
      </c>
      <c r="I63" s="12" t="inlineStr">
        <is>
          <t>Транспортно-экспедиторское обслуживание</t>
        </is>
      </c>
      <c r="J63" s="27" t="n">
        <v>300000</v>
      </c>
      <c r="K63" s="17" t="inlineStr">
        <is>
          <t>12%</t>
        </is>
      </c>
      <c r="L63" s="15" t="n"/>
      <c r="M63" s="14" t="n"/>
      <c r="N63" t="n">
        <v>74</v>
      </c>
    </row>
    <row r="64" ht="15" customHeight="1">
      <c r="A64" s="10" t="n">
        <v>63</v>
      </c>
      <c r="B64" s="7" t="inlineStr">
        <is>
          <t>Груж</t>
        </is>
      </c>
      <c r="C64" s="19" t="n">
        <v>62160270</v>
      </c>
      <c r="D64" s="20" t="inlineStr">
        <is>
          <t>ЭЛ938016</t>
        </is>
      </c>
      <c r="E64" s="21" t="n">
        <v>45707</v>
      </c>
      <c r="F64" s="22" t="inlineStr">
        <is>
          <t>Кызылжар</t>
        </is>
      </c>
      <c r="G64" s="23" t="inlineStr">
        <is>
          <t>Оскемен-1</t>
        </is>
      </c>
      <c r="H64" s="24" t="inlineStr">
        <is>
          <t xml:space="preserve">УГОЛЬ Д     </t>
        </is>
      </c>
      <c r="I64" s="12" t="inlineStr">
        <is>
          <t>Транспортно-экспедиторское обслуживание</t>
        </is>
      </c>
      <c r="J64" s="27" t="n">
        <v>300000</v>
      </c>
      <c r="K64" s="17" t="inlineStr">
        <is>
          <t>12%</t>
        </is>
      </c>
      <c r="L64" s="15" t="n"/>
      <c r="M64" s="14" t="n"/>
      <c r="N64" t="n">
        <v>74</v>
      </c>
    </row>
    <row r="65" ht="15" customHeight="1">
      <c r="A65" s="10" t="n">
        <v>64</v>
      </c>
      <c r="B65" s="7" t="inlineStr">
        <is>
          <t>Груж</t>
        </is>
      </c>
      <c r="C65" s="19" t="n">
        <v>62517784</v>
      </c>
      <c r="D65" s="20" t="n">
        <v>20342620</v>
      </c>
      <c r="E65" s="21" t="n">
        <v>45709</v>
      </c>
      <c r="F65" s="22" t="inlineStr">
        <is>
          <t>Жомарт</t>
        </is>
      </c>
      <c r="G65" s="23" t="inlineStr">
        <is>
          <t>Достык (эксп.)</t>
        </is>
      </c>
      <c r="H65" s="24" t="inlineStr">
        <is>
          <t>КОНЦЕНТР СВИ</t>
        </is>
      </c>
      <c r="I65" s="12" t="inlineStr">
        <is>
          <t>Транспортно-экспедиторское обслуживание</t>
        </is>
      </c>
      <c r="J65" s="27" t="n">
        <v>300000</v>
      </c>
      <c r="K65" s="17" t="inlineStr">
        <is>
          <t>Без НДС</t>
        </is>
      </c>
      <c r="L65" s="13" t="n">
        <v>40</v>
      </c>
      <c r="M65" s="14" t="n"/>
      <c r="N65" t="n">
        <v>40</v>
      </c>
    </row>
    <row r="66" ht="15" customHeight="1">
      <c r="A66" s="10" t="n">
        <v>65</v>
      </c>
      <c r="B66" s="7" t="inlineStr">
        <is>
          <t>Груж</t>
        </is>
      </c>
      <c r="C66" s="19" t="n">
        <v>62113568</v>
      </c>
      <c r="D66" s="20" t="inlineStr">
        <is>
          <t>ЭЛ946556</t>
        </is>
      </c>
      <c r="E66" s="21" t="n">
        <v>45709</v>
      </c>
      <c r="F66" s="22" t="inlineStr">
        <is>
          <t>Костанай</t>
        </is>
      </c>
      <c r="G66" s="23" t="inlineStr">
        <is>
          <t>Актау-порт</t>
        </is>
      </c>
      <c r="H66" s="24" t="inlineStr">
        <is>
          <t>ИЗД ЧЕРМЕТ П</t>
        </is>
      </c>
      <c r="I66" s="12" t="inlineStr">
        <is>
          <t>Транспортно-экспедиторское обслуживание</t>
        </is>
      </c>
      <c r="J66" s="27" t="n">
        <v>200000</v>
      </c>
      <c r="K66" s="17" t="inlineStr">
        <is>
          <t>12%</t>
        </is>
      </c>
      <c r="L66" s="13" t="n">
        <v>35</v>
      </c>
      <c r="M66" s="14" t="n"/>
      <c r="N66" t="n">
        <v>35</v>
      </c>
    </row>
    <row r="67" ht="15" customHeight="1">
      <c r="A67" s="10" t="n">
        <v>66</v>
      </c>
      <c r="B67" s="7" t="inlineStr">
        <is>
          <t>Груж</t>
        </is>
      </c>
      <c r="C67" s="19" t="n">
        <v>62364039</v>
      </c>
      <c r="D67" s="20" t="inlineStr">
        <is>
          <t>ЭЛ948883</t>
        </is>
      </c>
      <c r="E67" s="21" t="n">
        <v>45710</v>
      </c>
      <c r="F67" s="22" t="inlineStr">
        <is>
          <t>Каерак</t>
        </is>
      </c>
      <c r="G67" s="23" t="inlineStr">
        <is>
          <t>Оскемен-1</t>
        </is>
      </c>
      <c r="H67" s="24" t="inlineStr">
        <is>
          <t>КВАРЦ КОНЦ К</t>
        </is>
      </c>
      <c r="I67" s="12" t="inlineStr">
        <is>
          <t>Транспортно-экспедиторское обслуживание</t>
        </is>
      </c>
      <c r="J67" s="27" t="n">
        <v>200000</v>
      </c>
      <c r="K67" s="17" t="inlineStr">
        <is>
          <t>12%</t>
        </is>
      </c>
      <c r="L67" s="13" t="n"/>
      <c r="M67" s="14" t="n"/>
      <c r="N67" t="n">
        <v>42</v>
      </c>
    </row>
    <row r="68" ht="15" customHeight="1">
      <c r="A68" s="10" t="n">
        <v>67</v>
      </c>
      <c r="B68" s="7" t="inlineStr">
        <is>
          <t>Груж</t>
        </is>
      </c>
      <c r="C68" s="19" t="n">
        <v>62625827</v>
      </c>
      <c r="D68" s="20" t="n">
        <v>20346698</v>
      </c>
      <c r="E68" s="21" t="n">
        <v>45711</v>
      </c>
      <c r="F68" s="22" t="inlineStr">
        <is>
          <t>Жомарт</t>
        </is>
      </c>
      <c r="G68" s="23" t="inlineStr">
        <is>
          <t>Достык (эксп.)</t>
        </is>
      </c>
      <c r="H68" s="24" t="inlineStr">
        <is>
          <t>КОНЦЕНТР СВИ</t>
        </is>
      </c>
      <c r="I68" s="12" t="inlineStr">
        <is>
          <t>Транспортно-экспедиторское обслуживание</t>
        </is>
      </c>
      <c r="J68" s="27" t="n">
        <v>300000</v>
      </c>
      <c r="K68" s="18" t="inlineStr">
        <is>
          <t>Без НДС</t>
        </is>
      </c>
      <c r="L68" s="15" t="n">
        <v>40</v>
      </c>
      <c r="M68" s="14" t="n"/>
      <c r="N68" t="n">
        <v>40</v>
      </c>
    </row>
    <row r="69" ht="15" customHeight="1">
      <c r="A69" s="10" t="n">
        <v>68</v>
      </c>
      <c r="B69" s="7" t="inlineStr">
        <is>
          <t>Груж</t>
        </is>
      </c>
      <c r="C69" s="19" t="n">
        <v>62365523</v>
      </c>
      <c r="D69" s="20" t="n">
        <v>20346695</v>
      </c>
      <c r="E69" s="21" t="n">
        <v>45711</v>
      </c>
      <c r="F69" s="22" t="inlineStr">
        <is>
          <t>Жомарт</t>
        </is>
      </c>
      <c r="G69" s="23" t="inlineStr">
        <is>
          <t>Достык (эксп.)</t>
        </is>
      </c>
      <c r="H69" s="24" t="inlineStr">
        <is>
          <t>КОНЦЕНТР СВИ</t>
        </is>
      </c>
      <c r="I69" s="12" t="inlineStr">
        <is>
          <t>Транспортно-экспедиторское обслуживание</t>
        </is>
      </c>
      <c r="J69" s="27" t="n">
        <v>300000</v>
      </c>
      <c r="K69" s="18" t="inlineStr">
        <is>
          <t>Без НДС</t>
        </is>
      </c>
      <c r="L69" s="15" t="n">
        <v>40</v>
      </c>
      <c r="M69" s="14" t="n"/>
      <c r="N69" t="n">
        <v>40</v>
      </c>
    </row>
    <row r="70" ht="15" customHeight="1">
      <c r="A70" s="10" t="n">
        <v>69</v>
      </c>
      <c r="B70" s="7" t="inlineStr">
        <is>
          <t>Груж</t>
        </is>
      </c>
      <c r="C70" s="19" t="n">
        <v>62131156</v>
      </c>
      <c r="D70" s="20" t="n">
        <v>20346120</v>
      </c>
      <c r="E70" s="21" t="n">
        <v>45711</v>
      </c>
      <c r="F70" s="22" t="inlineStr">
        <is>
          <t>Кызылжар</t>
        </is>
      </c>
      <c r="G70" s="23" t="inlineStr">
        <is>
          <t>Сырдарьинская</t>
        </is>
      </c>
      <c r="H70" s="24" t="inlineStr">
        <is>
          <t xml:space="preserve">УГОЛЬ Д     </t>
        </is>
      </c>
      <c r="I70" s="12" t="inlineStr">
        <is>
          <t>Транспортно-экспедиторское обслуживание</t>
        </is>
      </c>
      <c r="J70" s="27" t="n">
        <v>350000</v>
      </c>
      <c r="K70" s="18" t="inlineStr">
        <is>
          <t>Без НДС</t>
        </is>
      </c>
      <c r="L70" s="15" t="inlineStr">
        <is>
          <t>46</t>
        </is>
      </c>
      <c r="M70" s="14" t="n"/>
      <c r="N70" t="n">
        <v>46</v>
      </c>
    </row>
    <row r="71" ht="15" customHeight="1">
      <c r="A71" s="10" t="n">
        <v>70</v>
      </c>
      <c r="B71" s="7" t="inlineStr">
        <is>
          <t>Груж</t>
        </is>
      </c>
      <c r="C71" s="19" t="n">
        <v>62518576</v>
      </c>
      <c r="D71" s="20" t="n">
        <v>20346129</v>
      </c>
      <c r="E71" s="21" t="n">
        <v>45711</v>
      </c>
      <c r="F71" s="22" t="inlineStr">
        <is>
          <t>Кызылжар</t>
        </is>
      </c>
      <c r="G71" s="23" t="inlineStr">
        <is>
          <t>Сырдарьинская</t>
        </is>
      </c>
      <c r="H71" s="24" t="inlineStr">
        <is>
          <t xml:space="preserve">УГОЛЬ Д     </t>
        </is>
      </c>
      <c r="I71" s="12" t="inlineStr">
        <is>
          <t>Транспортно-экспедиторское обслуживание</t>
        </is>
      </c>
      <c r="J71" s="27" t="n">
        <v>350000</v>
      </c>
      <c r="K71" s="18" t="inlineStr">
        <is>
          <t>Без НДС</t>
        </is>
      </c>
      <c r="L71" s="15" t="inlineStr">
        <is>
          <t>46</t>
        </is>
      </c>
      <c r="M71" s="14" t="n"/>
      <c r="N71" t="n">
        <v>46</v>
      </c>
    </row>
    <row r="72" ht="15" customHeight="1">
      <c r="A72" s="10" t="n">
        <v>71</v>
      </c>
      <c r="B72" s="7" t="inlineStr">
        <is>
          <t>Груж</t>
        </is>
      </c>
      <c r="C72" s="19" t="n">
        <v>61427985</v>
      </c>
      <c r="D72" s="20" t="n">
        <v>20346131</v>
      </c>
      <c r="E72" s="21" t="n">
        <v>45711</v>
      </c>
      <c r="F72" s="22" t="inlineStr">
        <is>
          <t>Кызылжар</t>
        </is>
      </c>
      <c r="G72" s="23" t="inlineStr">
        <is>
          <t>Сырдарьинская</t>
        </is>
      </c>
      <c r="H72" s="24" t="inlineStr">
        <is>
          <t xml:space="preserve">УГОЛЬ Д     </t>
        </is>
      </c>
      <c r="I72" s="12" t="inlineStr">
        <is>
          <t>Транспортно-экспедиторское обслуживание</t>
        </is>
      </c>
      <c r="J72" s="27" t="n">
        <v>350000</v>
      </c>
      <c r="K72" s="17" t="inlineStr">
        <is>
          <t>Без НДС</t>
        </is>
      </c>
      <c r="L72" s="15" t="inlineStr">
        <is>
          <t>46</t>
        </is>
      </c>
      <c r="M72" s="14" t="n"/>
      <c r="N72" t="n">
        <v>46</v>
      </c>
    </row>
    <row r="73" ht="15" customHeight="1">
      <c r="A73" s="10" t="n">
        <v>72</v>
      </c>
      <c r="B73" s="7" t="inlineStr">
        <is>
          <t>Груж</t>
        </is>
      </c>
      <c r="C73" s="19" t="n">
        <v>61460861</v>
      </c>
      <c r="D73" s="20" t="n">
        <v>20346138</v>
      </c>
      <c r="E73" s="21" t="n">
        <v>45711</v>
      </c>
      <c r="F73" s="22" t="inlineStr">
        <is>
          <t>Кызылжар</t>
        </is>
      </c>
      <c r="G73" s="23" t="inlineStr">
        <is>
          <t>Сырдарьинская</t>
        </is>
      </c>
      <c r="H73" s="24" t="inlineStr">
        <is>
          <t xml:space="preserve">УГОЛЬ Д     </t>
        </is>
      </c>
      <c r="I73" s="12" t="inlineStr">
        <is>
          <t>Транспортно-экспедиторское обслуживание</t>
        </is>
      </c>
      <c r="J73" s="27" t="n">
        <v>350000</v>
      </c>
      <c r="K73" s="17" t="inlineStr">
        <is>
          <t>Без НДС</t>
        </is>
      </c>
      <c r="L73" s="15" t="inlineStr">
        <is>
          <t>46</t>
        </is>
      </c>
      <c r="M73" s="14" t="n"/>
      <c r="N73" t="n">
        <v>46</v>
      </c>
    </row>
    <row r="74" ht="15" customHeight="1">
      <c r="A74" s="10" t="n">
        <v>73</v>
      </c>
      <c r="B74" s="7" t="inlineStr">
        <is>
          <t>Груж</t>
        </is>
      </c>
      <c r="C74" s="19" t="n">
        <v>64473580</v>
      </c>
      <c r="D74" s="20" t="inlineStr">
        <is>
          <t>Ж0439811</t>
        </is>
      </c>
      <c r="E74" s="21" t="n">
        <v>45712</v>
      </c>
      <c r="F74" s="22" t="inlineStr">
        <is>
          <t>Жомарт</t>
        </is>
      </c>
      <c r="G74" s="23" t="inlineStr">
        <is>
          <t>Достык (эксп.)</t>
        </is>
      </c>
      <c r="H74" s="24" t="inlineStr">
        <is>
          <t>КОНЦЕНТР СВИ</t>
        </is>
      </c>
      <c r="I74" s="12" t="inlineStr">
        <is>
          <t>Транспортно-экспедиторское обслуживание</t>
        </is>
      </c>
      <c r="J74" s="27" t="n">
        <v>300000</v>
      </c>
      <c r="K74" s="18" t="inlineStr">
        <is>
          <t>Без НДС</t>
        </is>
      </c>
      <c r="L74" s="15" t="n">
        <v>40</v>
      </c>
      <c r="M74" s="14" t="n"/>
      <c r="N74" t="n">
        <v>40</v>
      </c>
    </row>
    <row r="75" ht="15" customHeight="1">
      <c r="A75" s="10" t="n">
        <v>74</v>
      </c>
      <c r="B75" s="7" t="inlineStr">
        <is>
          <t>Груж</t>
        </is>
      </c>
      <c r="C75" s="19" t="n">
        <v>64351968</v>
      </c>
      <c r="D75" s="20" t="n">
        <v>20350781</v>
      </c>
      <c r="E75" s="21" t="n">
        <v>45713</v>
      </c>
      <c r="F75" s="22" t="inlineStr">
        <is>
          <t>Кызылжар</t>
        </is>
      </c>
      <c r="G75" s="23" t="inlineStr">
        <is>
          <t>Ангрен</t>
        </is>
      </c>
      <c r="H75" s="24" t="inlineStr">
        <is>
          <t xml:space="preserve">УГОЛЬ Д     </t>
        </is>
      </c>
      <c r="I75" s="12" t="inlineStr">
        <is>
          <t>Транспортно-экспедиторское обслуживание</t>
        </is>
      </c>
      <c r="J75" s="27" t="n">
        <v>328000</v>
      </c>
      <c r="K75" s="18" t="inlineStr">
        <is>
          <t>Без НДС</t>
        </is>
      </c>
      <c r="L75" s="13" t="n">
        <v>47</v>
      </c>
      <c r="M75" s="14" t="n"/>
      <c r="N75" t="n">
        <v>47</v>
      </c>
    </row>
    <row r="76" ht="15" customHeight="1">
      <c r="A76" s="10" t="n">
        <v>75</v>
      </c>
      <c r="B76" s="7" t="inlineStr">
        <is>
          <t>Груж</t>
        </is>
      </c>
      <c r="C76" s="19" t="n">
        <v>60016516</v>
      </c>
      <c r="D76" s="20" t="n">
        <v>20350624</v>
      </c>
      <c r="E76" s="21" t="n">
        <v>45713</v>
      </c>
      <c r="F76" s="22" t="inlineStr">
        <is>
          <t>Ушкулын</t>
        </is>
      </c>
      <c r="G76" s="23" t="inlineStr">
        <is>
          <t>Ангрен</t>
        </is>
      </c>
      <c r="H76" s="24" t="inlineStr">
        <is>
          <t>УГ БУР НЕПОД</t>
        </is>
      </c>
      <c r="I76" s="12" t="inlineStr">
        <is>
          <t>Транспортно-экспедиторское обслуживание</t>
        </is>
      </c>
      <c r="J76" s="27" t="n">
        <v>310000</v>
      </c>
      <c r="K76" s="18" t="inlineStr">
        <is>
          <t>Без НДС</t>
        </is>
      </c>
      <c r="L76" s="15" t="n"/>
      <c r="M76" s="14" t="n"/>
      <c r="N76" t="n">
        <v>77</v>
      </c>
    </row>
    <row r="77" ht="15" customHeight="1">
      <c r="A77" s="10" t="n">
        <v>76</v>
      </c>
      <c r="B77" s="7" t="inlineStr">
        <is>
          <t>Груж</t>
        </is>
      </c>
      <c r="C77" s="19" t="n">
        <v>62626114</v>
      </c>
      <c r="D77" s="20" t="n">
        <v>20350624</v>
      </c>
      <c r="E77" s="21" t="n">
        <v>45713</v>
      </c>
      <c r="F77" s="22" t="inlineStr">
        <is>
          <t>Ушкулын</t>
        </is>
      </c>
      <c r="G77" s="23" t="inlineStr">
        <is>
          <t>Ангрен</t>
        </is>
      </c>
      <c r="H77" s="24" t="inlineStr">
        <is>
          <t>УГ БУР НЕПОД</t>
        </is>
      </c>
      <c r="I77" s="12" t="inlineStr">
        <is>
          <t>Транспортно-экспедиторское обслуживание</t>
        </is>
      </c>
      <c r="J77" s="27" t="n">
        <v>310000</v>
      </c>
      <c r="K77" s="18" t="inlineStr">
        <is>
          <t>Без НДС</t>
        </is>
      </c>
      <c r="L77" s="15" t="n"/>
      <c r="M77" s="14" t="n"/>
      <c r="N77" t="n">
        <v>77</v>
      </c>
    </row>
    <row r="78" ht="15" customHeight="1">
      <c r="A78" s="10" t="n">
        <v>77</v>
      </c>
      <c r="B78" s="7" t="inlineStr">
        <is>
          <t>Груж</t>
        </is>
      </c>
      <c r="C78" s="19" t="n">
        <v>62517065</v>
      </c>
      <c r="D78" s="20" t="n">
        <v>20350628</v>
      </c>
      <c r="E78" s="21" t="n">
        <v>45713</v>
      </c>
      <c r="F78" s="22" t="inlineStr">
        <is>
          <t>Ушкулын</t>
        </is>
      </c>
      <c r="G78" s="23" t="inlineStr">
        <is>
          <t>Ангрен</t>
        </is>
      </c>
      <c r="H78" s="24" t="inlineStr">
        <is>
          <t>УГ БУР НЕПОД</t>
        </is>
      </c>
      <c r="I78" s="12" t="inlineStr">
        <is>
          <t>Транспортно-экспедиторское обслуживание</t>
        </is>
      </c>
      <c r="J78" s="27" t="n">
        <v>310000</v>
      </c>
      <c r="K78" s="17" t="inlineStr">
        <is>
          <t>Без НДС</t>
        </is>
      </c>
      <c r="L78" s="15" t="n"/>
      <c r="M78" s="14" t="n"/>
      <c r="N78" t="n">
        <v>77</v>
      </c>
    </row>
    <row r="79" ht="15" customHeight="1">
      <c r="A79" s="10" t="n">
        <v>78</v>
      </c>
      <c r="B79" s="7" t="inlineStr">
        <is>
          <t>Груж</t>
        </is>
      </c>
      <c r="C79" s="19" t="n">
        <v>61993614</v>
      </c>
      <c r="D79" s="20" t="n">
        <v>20350628</v>
      </c>
      <c r="E79" s="21" t="n">
        <v>45713</v>
      </c>
      <c r="F79" s="22" t="inlineStr">
        <is>
          <t>Ушкулын</t>
        </is>
      </c>
      <c r="G79" s="23" t="inlineStr">
        <is>
          <t>Ангрен</t>
        </is>
      </c>
      <c r="H79" s="24" t="inlineStr">
        <is>
          <t>УГ БУР НЕПОД</t>
        </is>
      </c>
      <c r="I79" s="12" t="inlineStr">
        <is>
          <t>Транспортно-экспедиторское обслуживание</t>
        </is>
      </c>
      <c r="J79" s="27" t="n">
        <v>310000</v>
      </c>
      <c r="K79" s="18" t="inlineStr">
        <is>
          <t>Без НДС</t>
        </is>
      </c>
      <c r="L79" s="16" t="n"/>
      <c r="M79" s="14" t="n"/>
      <c r="N79" t="n">
        <v>77</v>
      </c>
    </row>
    <row r="80" ht="15" customHeight="1">
      <c r="A80" s="10" t="n">
        <v>79</v>
      </c>
      <c r="B80" s="7" t="inlineStr">
        <is>
          <t>Груж</t>
        </is>
      </c>
      <c r="C80" s="19" t="n">
        <v>64352149</v>
      </c>
      <c r="D80" s="20" t="n">
        <v>20350628</v>
      </c>
      <c r="E80" s="21" t="n">
        <v>45713</v>
      </c>
      <c r="F80" s="22" t="inlineStr">
        <is>
          <t>Ушкулын</t>
        </is>
      </c>
      <c r="G80" s="23" t="inlineStr">
        <is>
          <t>Ангрен</t>
        </is>
      </c>
      <c r="H80" s="24" t="inlineStr">
        <is>
          <t>УГ БУР НЕПОД</t>
        </is>
      </c>
      <c r="I80" s="12" t="inlineStr">
        <is>
          <t>Транспортно-экспедиторское обслуживание</t>
        </is>
      </c>
      <c r="J80" s="27" t="n">
        <v>310000</v>
      </c>
      <c r="K80" s="18" t="inlineStr">
        <is>
          <t>Без НДС</t>
        </is>
      </c>
      <c r="L80" s="15" t="n"/>
      <c r="M80" s="14" t="n"/>
      <c r="N80" t="n">
        <v>77</v>
      </c>
    </row>
    <row r="81" ht="15" customHeight="1">
      <c r="A81" s="10" t="n">
        <v>80</v>
      </c>
      <c r="B81" s="7" t="inlineStr">
        <is>
          <t>Груж</t>
        </is>
      </c>
      <c r="C81" s="19" t="n">
        <v>61996054</v>
      </c>
      <c r="D81" s="20" t="n">
        <v>20350783</v>
      </c>
      <c r="E81" s="21" t="n">
        <v>45713</v>
      </c>
      <c r="F81" s="22" t="inlineStr">
        <is>
          <t>Кызылжар</t>
        </is>
      </c>
      <c r="G81" s="23" t="inlineStr">
        <is>
          <t>Ангрен</t>
        </is>
      </c>
      <c r="H81" s="24" t="inlineStr">
        <is>
          <t xml:space="preserve">УГОЛЬ Д     </t>
        </is>
      </c>
      <c r="I81" s="12" t="inlineStr">
        <is>
          <t>Транспортно-экспедиторское обслуживание</t>
        </is>
      </c>
      <c r="J81" s="27" t="n">
        <v>328000</v>
      </c>
      <c r="K81" s="18" t="inlineStr">
        <is>
          <t>Без НДС</t>
        </is>
      </c>
      <c r="L81" s="13" t="n">
        <v>47</v>
      </c>
      <c r="M81" s="14" t="n"/>
      <c r="N81" t="n">
        <v>47</v>
      </c>
    </row>
    <row r="82" ht="15" customHeight="1">
      <c r="A82" s="10" t="n">
        <v>81</v>
      </c>
      <c r="B82" s="7" t="inlineStr">
        <is>
          <t>Груж</t>
        </is>
      </c>
      <c r="C82" s="19" t="n">
        <v>60018728</v>
      </c>
      <c r="D82" s="20" t="n">
        <v>20350784</v>
      </c>
      <c r="E82" s="21" t="n">
        <v>45713</v>
      </c>
      <c r="F82" s="22" t="inlineStr">
        <is>
          <t>Кызылжар</t>
        </is>
      </c>
      <c r="G82" s="23" t="inlineStr">
        <is>
          <t>Сырдарьинская</t>
        </is>
      </c>
      <c r="H82" s="24" t="inlineStr">
        <is>
          <t xml:space="preserve">УГОЛЬ Д     </t>
        </is>
      </c>
      <c r="I82" s="12" t="inlineStr">
        <is>
          <t>Транспортно-экспедиторское обслуживание</t>
        </is>
      </c>
      <c r="J82" s="27" t="n">
        <v>350000</v>
      </c>
      <c r="K82" s="18" t="inlineStr">
        <is>
          <t>Без НДС</t>
        </is>
      </c>
      <c r="L82" s="15" t="inlineStr">
        <is>
          <t>46</t>
        </is>
      </c>
      <c r="M82" s="14" t="n"/>
      <c r="N82" t="n">
        <v>46</v>
      </c>
    </row>
    <row r="83" ht="15" customHeight="1">
      <c r="A83" s="10" t="n">
        <v>83</v>
      </c>
      <c r="B83" s="7" t="inlineStr">
        <is>
          <t>Груж</t>
        </is>
      </c>
      <c r="C83" s="19" t="n">
        <v>63899736</v>
      </c>
      <c r="D83" s="20" t="inlineStr">
        <is>
          <t>20357566</t>
        </is>
      </c>
      <c r="E83" s="21" t="n">
        <v>45715</v>
      </c>
      <c r="F83" s="22" t="inlineStr">
        <is>
          <t>Кызылжар</t>
        </is>
      </c>
      <c r="G83" s="23" t="inlineStr">
        <is>
          <t>Пайтуг</t>
        </is>
      </c>
      <c r="H83" s="24" t="inlineStr">
        <is>
          <t xml:space="preserve">УГОЛЬ Д     </t>
        </is>
      </c>
      <c r="I83" s="12" t="inlineStr">
        <is>
          <t>Транспортно-экспедиторское обслуживание</t>
        </is>
      </c>
      <c r="J83" s="27" t="n">
        <v>108000</v>
      </c>
      <c r="K83" s="18" t="inlineStr">
        <is>
          <t>Без НДС</t>
        </is>
      </c>
      <c r="L83" s="15" t="inlineStr">
        <is>
          <t>76</t>
        </is>
      </c>
      <c r="M83" s="14" t="n"/>
      <c r="N83" t="n">
        <v>76</v>
      </c>
    </row>
    <row r="84" ht="15" customHeight="1">
      <c r="A84" s="10" t="n">
        <v>84</v>
      </c>
      <c r="B84" s="7" t="inlineStr">
        <is>
          <t>Груж</t>
        </is>
      </c>
      <c r="C84" s="19" t="n">
        <v>61469227</v>
      </c>
      <c r="D84" s="20" t="inlineStr">
        <is>
          <t>20357808</t>
        </is>
      </c>
      <c r="E84" s="21" t="n">
        <v>45715</v>
      </c>
      <c r="F84" s="22" t="inlineStr">
        <is>
          <t>Кызылжар</t>
        </is>
      </c>
      <c r="G84" s="23" t="inlineStr">
        <is>
          <t>Пайтуг</t>
        </is>
      </c>
      <c r="H84" s="24" t="inlineStr">
        <is>
          <t xml:space="preserve">УГОЛЬ Д     </t>
        </is>
      </c>
      <c r="I84" s="12" t="inlineStr">
        <is>
          <t>Транспортно-экспедиторское обслуживание</t>
        </is>
      </c>
      <c r="J84" s="27" t="n">
        <v>108000</v>
      </c>
      <c r="K84" s="18" t="inlineStr">
        <is>
          <t>Без НДС</t>
        </is>
      </c>
      <c r="L84" s="15" t="inlineStr">
        <is>
          <t>76</t>
        </is>
      </c>
      <c r="M84" s="14" t="n"/>
      <c r="N84" t="n">
        <v>76</v>
      </c>
    </row>
    <row r="85" ht="15" customHeight="1">
      <c r="A85" s="10" t="n">
        <v>86</v>
      </c>
      <c r="B85" s="7" t="inlineStr">
        <is>
          <t>Груж</t>
        </is>
      </c>
      <c r="C85" s="19" t="n">
        <v>63895007</v>
      </c>
      <c r="D85" s="20" t="inlineStr">
        <is>
          <t>20362183</t>
        </is>
      </c>
      <c r="E85" s="21" t="n">
        <v>45716</v>
      </c>
      <c r="F85" s="22" t="inlineStr">
        <is>
          <t>Жомарт</t>
        </is>
      </c>
      <c r="G85" s="23" t="inlineStr">
        <is>
          <t>Достык (эксп.)</t>
        </is>
      </c>
      <c r="H85" s="24" t="inlineStr">
        <is>
          <t>КОНЦЕНТР СВИ</t>
        </is>
      </c>
      <c r="I85" s="12" t="inlineStr">
        <is>
          <t>Транспортно-экспедиторское обслуживание</t>
        </is>
      </c>
      <c r="J85" s="27" t="n">
        <v>300000</v>
      </c>
      <c r="K85" s="17" t="inlineStr">
        <is>
          <t>Без НДС</t>
        </is>
      </c>
      <c r="L85" s="15" t="n">
        <v>40</v>
      </c>
      <c r="M85" s="14" t="n"/>
      <c r="N85" t="n">
        <v>40</v>
      </c>
    </row>
    <row r="86" ht="15" customHeight="1">
      <c r="A86" s="10" t="n">
        <v>87</v>
      </c>
      <c r="B86" s="7" t="inlineStr">
        <is>
          <t>Груж</t>
        </is>
      </c>
      <c r="C86" s="19" t="n">
        <v>62365648</v>
      </c>
      <c r="D86" s="20" t="inlineStr">
        <is>
          <t>ЭЛ972597</t>
        </is>
      </c>
      <c r="E86" s="21" t="n">
        <v>45716</v>
      </c>
      <c r="F86" s="22" t="inlineStr">
        <is>
          <t>Каерак</t>
        </is>
      </c>
      <c r="G86" s="23" t="inlineStr">
        <is>
          <t>Оскемен-1</t>
        </is>
      </c>
      <c r="H86" s="24" t="inlineStr">
        <is>
          <t>КВАРЦ КОНЦ К</t>
        </is>
      </c>
      <c r="I86" s="12" t="inlineStr">
        <is>
          <t>Транспортно-экспедиторское обслуживание</t>
        </is>
      </c>
      <c r="J86" s="27" t="n">
        <v>200000</v>
      </c>
      <c r="K86" s="17" t="inlineStr">
        <is>
          <t>12%</t>
        </is>
      </c>
      <c r="L86" s="15" t="n"/>
      <c r="M86" s="14" t="n"/>
      <c r="N86" t="n">
        <v>42</v>
      </c>
    </row>
    <row r="87" ht="15" customHeight="1">
      <c r="A87" s="10" t="n">
        <v>88</v>
      </c>
      <c r="B87" s="7" t="inlineStr">
        <is>
          <t>Груж</t>
        </is>
      </c>
      <c r="C87" s="19" t="n">
        <v>61872230</v>
      </c>
      <c r="D87" s="20" t="inlineStr">
        <is>
          <t>ЭЛ972597</t>
        </is>
      </c>
      <c r="E87" s="21" t="n">
        <v>45716</v>
      </c>
      <c r="F87" s="22" t="inlineStr">
        <is>
          <t>Каерак</t>
        </is>
      </c>
      <c r="G87" s="23" t="inlineStr">
        <is>
          <t>Оскемен-1</t>
        </is>
      </c>
      <c r="H87" s="24" t="inlineStr">
        <is>
          <t>КВАРЦ КОНЦ К</t>
        </is>
      </c>
      <c r="I87" s="12" t="inlineStr">
        <is>
          <t>Транспортно-экспедиторское обслуживание</t>
        </is>
      </c>
      <c r="J87" s="27" t="n">
        <v>200000</v>
      </c>
      <c r="K87" s="18" t="inlineStr">
        <is>
          <t>12%</t>
        </is>
      </c>
      <c r="L87" s="13" t="n"/>
      <c r="M87" s="14" t="n"/>
      <c r="N87" t="n">
        <v>42</v>
      </c>
    </row>
    <row r="88" ht="15" customHeight="1">
      <c r="A88" s="10" t="n">
        <v>89</v>
      </c>
      <c r="B88" s="7" t="inlineStr">
        <is>
          <t>Груж</t>
        </is>
      </c>
      <c r="C88" s="19" t="n">
        <v>62139506</v>
      </c>
      <c r="D88" s="20" t="inlineStr">
        <is>
          <t>ЭЛ972597</t>
        </is>
      </c>
      <c r="E88" s="21" t="n">
        <v>45716</v>
      </c>
      <c r="F88" s="22" t="inlineStr">
        <is>
          <t>Каерак</t>
        </is>
      </c>
      <c r="G88" s="23" t="inlineStr">
        <is>
          <t>Оскемен-1</t>
        </is>
      </c>
      <c r="H88" s="24" t="inlineStr">
        <is>
          <t>КВАРЦ КОНЦ К</t>
        </is>
      </c>
      <c r="I88" s="12" t="inlineStr">
        <is>
          <t>Транспортно-экспедиторское обслуживание</t>
        </is>
      </c>
      <c r="J88" s="27" t="n">
        <v>200000</v>
      </c>
      <c r="K88" s="18" t="inlineStr">
        <is>
          <t>12%</t>
        </is>
      </c>
      <c r="L88" s="13" t="n"/>
      <c r="M88" s="14" t="n"/>
      <c r="N88" t="n">
        <v>42</v>
      </c>
    </row>
    <row r="89" ht="15" customHeight="1">
      <c r="A89" s="10" t="n">
        <v>90</v>
      </c>
      <c r="B89" s="7" t="inlineStr">
        <is>
          <t>Груж</t>
        </is>
      </c>
      <c r="C89" s="19" t="n">
        <v>62625173</v>
      </c>
      <c r="D89" s="20" t="inlineStr">
        <is>
          <t>ЭЛ972608</t>
        </is>
      </c>
      <c r="E89" s="21" t="n">
        <v>45716</v>
      </c>
      <c r="F89" s="22" t="inlineStr">
        <is>
          <t>Каерак</t>
        </is>
      </c>
      <c r="G89" s="23" t="inlineStr">
        <is>
          <t>Оскемен-1</t>
        </is>
      </c>
      <c r="H89" s="24" t="inlineStr">
        <is>
          <t>КВАРЦ КОНЦ К</t>
        </is>
      </c>
      <c r="I89" s="12" t="inlineStr">
        <is>
          <t>Транспортно-экспедиторское обслуживание</t>
        </is>
      </c>
      <c r="J89" s="27" t="n">
        <v>200000</v>
      </c>
      <c r="K89" s="18" t="inlineStr">
        <is>
          <t>12%</t>
        </is>
      </c>
      <c r="L89" s="16" t="n"/>
      <c r="M89" s="14" t="n"/>
      <c r="N89" t="n">
        <v>42</v>
      </c>
    </row>
    <row r="90">
      <c r="N90" t="n">
        <v>0</v>
      </c>
    </row>
    <row r="91">
      <c r="J91" s="25">
        <f>SUBTOTAL(109,J2:J89)</f>
        <v/>
      </c>
      <c r="N91" t="n">
        <v>0</v>
      </c>
    </row>
  </sheetData>
  <autoFilter ref="A1:M89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2025-03-09T11:00:36Z</dcterms:modified>
  <cp:lastModifiedBy>user</cp:lastModifiedBy>
</cp:coreProperties>
</file>